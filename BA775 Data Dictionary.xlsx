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sheetId="1" r:id="rId4"/>
    <sheet state="visible" name="Rough" sheetId="2" r:id="rId5"/>
  </sheets>
  <definedNames>
    <definedName hidden="1" localSheetId="0" name="_xlnm._FilterDatabase">'Data Dictionary'!$A$1:$H$330</definedName>
    <definedName hidden="1" localSheetId="1" name="_xlnm._FilterDatabase">Rough!$A$1:$G$183</definedName>
  </definedNames>
  <calcPr/>
</workbook>
</file>

<file path=xl/sharedStrings.xml><?xml version="1.0" encoding="utf-8"?>
<sst xmlns="http://schemas.openxmlformats.org/spreadsheetml/2006/main" count="1802" uniqueCount="850">
  <si>
    <t>Sl No</t>
  </si>
  <si>
    <t>Field Name</t>
  </si>
  <si>
    <t>Definition</t>
  </si>
  <si>
    <t>Key</t>
  </si>
  <si>
    <t>Data Type</t>
  </si>
  <si>
    <t>Keep/Delete</t>
  </si>
  <si>
    <t>int_64_field_0</t>
  </si>
  <si>
    <t>Index</t>
  </si>
  <si>
    <t>Delete</t>
  </si>
  <si>
    <t>_STATE</t>
  </si>
  <si>
    <t>State in the US</t>
  </si>
  <si>
    <t>1 Alabama 2 Alaska 4 Arizona 5 Arkansas 6 California 8 Colorado 9 Connecticut 10 Delaware 11 District of Columbia 12 Florida 13 Georgia 15 Hawaii 16 Idaho 17 Illinois 18 Indiana 19 Iowa 20 Kansas 21 Kentucky 22 Louisiana 23 Maine 24 Maryland 25 Massachusetts 26 Michigan 27 Minnesota 28 Mississippi 29 Missouri 30 Montana 31 Nebraska 32 Nevada 33 New Hampshire 34 New Jersey 35 New Mexico 36 New York 37 North Carolina 38 North Dakota 39 Ohio 40 Oklahoma 41 Oregon 42 Pennsylvania 44 Rhode Island 45 South Carolina 46 South Dakota 47 Tennessee 48 Texas 49 Utah 50 Vermont 51 Virginia 53 Washington 54 West Virginia 55 Wisconsin 56 Wyoming 66 Guam 72 Puerto Rico 78 Virgin Islands</t>
  </si>
  <si>
    <t>float64</t>
  </si>
  <si>
    <t>Keep</t>
  </si>
  <si>
    <t>_SEX</t>
  </si>
  <si>
    <t>Sex of the respondent</t>
  </si>
  <si>
    <t>_AGE80</t>
  </si>
  <si>
    <t>Age of respondent</t>
  </si>
  <si>
    <t>FMONTH</t>
  </si>
  <si>
    <t>IDATE</t>
  </si>
  <si>
    <t>object</t>
  </si>
  <si>
    <t>IMONTH</t>
  </si>
  <si>
    <t>DISPCODE</t>
  </si>
  <si>
    <t>SEQNO</t>
  </si>
  <si>
    <t>_PSU</t>
  </si>
  <si>
    <t>CTELENM1</t>
  </si>
  <si>
    <t>Is this [PHONE NUMBER]?</t>
  </si>
  <si>
    <t>PVTRESD1</t>
  </si>
  <si>
    <t>Is this a private residence?</t>
  </si>
  <si>
    <t>COLGHOUS</t>
  </si>
  <si>
    <t>Do you live in college housing?</t>
  </si>
  <si>
    <t>STATERE1</t>
  </si>
  <si>
    <t>Do you currently live in__(state)____?</t>
  </si>
  <si>
    <t>CELPHON1</t>
  </si>
  <si>
    <t>Is this a cell phone?</t>
  </si>
  <si>
    <t>LADULT1</t>
  </si>
  <si>
    <t>Are you 18 years of age or older?</t>
  </si>
  <si>
    <t>COLGSEX1</t>
  </si>
  <si>
    <t>Are you male or female?</t>
  </si>
  <si>
    <t>NUMADULT</t>
  </si>
  <si>
    <t>I need to randomly select "one adult who lives in your household to be interviewed. Excluding adults living away from home, such as" students away at college, how many members of your household, including "yourself, are 18 years of age or older?"</t>
  </si>
  <si>
    <t>LANDSEX1</t>
  </si>
  <si>
    <t>NUMMEN</t>
  </si>
  <si>
    <t>How many of these adults are men?</t>
  </si>
  <si>
    <t>NUMWOMEN</t>
  </si>
  <si>
    <t>So the number of women in the household is [X]. Is that correct?</t>
  </si>
  <si>
    <t>RESPSLCT</t>
  </si>
  <si>
    <t xml:space="preserve">The person in your household that I need to speak with is [Oldest/Youngest / Middle//Male /Female]. Are you the [Oldest/Youngest / Middle//Male /Female] in this household? </t>
  </si>
  <si>
    <t>SAFETIME</t>
  </si>
  <si>
    <t>CTELNUM1</t>
  </si>
  <si>
    <t>CELLFON5</t>
  </si>
  <si>
    <t>CADULT1</t>
  </si>
  <si>
    <t>CELLSEX1</t>
  </si>
  <si>
    <t>PVTRESD3</t>
  </si>
  <si>
    <t>CCLGHOUS</t>
  </si>
  <si>
    <t>CSTATE1</t>
  </si>
  <si>
    <t>LANDLINE</t>
  </si>
  <si>
    <t>HHADULT</t>
  </si>
  <si>
    <t>How many members of your household, including yourself, are 18 years of age or older?</t>
  </si>
  <si>
    <t>SEXVAR</t>
  </si>
  <si>
    <t>IDAY</t>
  </si>
  <si>
    <t>IYEAR</t>
  </si>
  <si>
    <t>GENHLTH</t>
  </si>
  <si>
    <t xml:space="preserve">Would you say that in general your health is - </t>
  </si>
  <si>
    <t>1 Excellent 2 Very Good 3 Good 4 Fair 5 Poor Do not read: 7 Don’t know/Not sure 9 Refused</t>
  </si>
  <si>
    <t>PHYSHLTH</t>
  </si>
  <si>
    <t>Now thinking about your physical health, which includes physical illness and injury, for how many days during the past 30 days was your physical health not good?</t>
  </si>
  <si>
    <t>_ _ Number of days (01 30) 88 None 77 Don’t know/not sure 99 Refused</t>
  </si>
  <si>
    <t>MENTHLTH</t>
  </si>
  <si>
    <t xml:space="preserve">Now thinking about your mental health, which includes stress, depression, and problems with emotions, for how many days during the past 30 days was your mental health not good? </t>
  </si>
  <si>
    <t>POORHLTH</t>
  </si>
  <si>
    <t>During the past 30 days, for about how many days did poor physical or mental health keep you from doing your usual activities, such as self-care, work, or recreation?</t>
  </si>
  <si>
    <t>PRIMINSR</t>
  </si>
  <si>
    <t>What is the current primary source of your health insurance?</t>
  </si>
  <si>
    <t>01 A plan purchased through an employer or union (including plans purchased through another person's employer)  02 A private nongovernmental plan that you or another family member buys on your own  03 Medicare 04 Medigap 05 Medicaid 06 Children's Health Insurance Program (CHIP) 07 Military related health care: TRICARE (CHAMPUS) / VA health care / CHAMP- VA 08  Indian Health Service 09 State sponsored health plan 10 Other government program 88 No coverage of any type 77 Don’t Know/Not Sure 99 Refused</t>
  </si>
  <si>
    <t>PERSDOC3</t>
  </si>
  <si>
    <t>Do you have one person (or a group of doctors) that you think of as your personal health care provider?</t>
  </si>
  <si>
    <t>1 Yes, only one 2 More than one 3 No 7 Don’t know / Not sure 9 Refused</t>
  </si>
  <si>
    <t>MEDCOST1</t>
  </si>
  <si>
    <t>Was there a time in the past 12 months when you needed to see a doctor but could not because you could not</t>
  </si>
  <si>
    <t>1 Yes 2 No 7 Don’t know / Not sure 9 Refused</t>
  </si>
  <si>
    <t>CHECKUP1</t>
  </si>
  <si>
    <t>About how long has it been since you last visited a doctor for a routine checkup?</t>
  </si>
  <si>
    <t xml:space="preserve">1 Within the past year (anytime less than 12 months ago) 2 Within the past 2 years (1 year but less than 2 years ago) 3 Within the past 5 years (2 years but less than 5 years ago) 4 5 or more years ago 7 Don’t know / Not sure  8 Never 9 Refused </t>
  </si>
  <si>
    <t>EXERANY2</t>
  </si>
  <si>
    <t>During the past month, other than your regular job, did you participate in any physical activities or exercises such as running, calisthenics, golf, gardening, or walking for exercise?</t>
  </si>
  <si>
    <t>SLEPTIM1</t>
  </si>
  <si>
    <t>On average, how many hours of sleep do you get in a 24-hour period?</t>
  </si>
  <si>
    <t>_ _ Number of hours [01-24] 77 Don’t know / Not sure 99 Refused</t>
  </si>
  <si>
    <t>LASTDEN4</t>
  </si>
  <si>
    <t xml:space="preserve">Including all types of dentists, such as orthodontists, oral surgeons, and all other dental specialists, as well as dental hygienists, how long has it been since you last visited a dentist or a dental clinic for any reason? </t>
  </si>
  <si>
    <t>1 Within the past year (anytime less than 12 months ago) 2 Within the past 2 years (1 year but less than 2 years ago) 3 Within the past 5 years (2 years but less than 5 years ago) 4 5 or more years ago Do not read: 7 Don’t know / Not sure 8 Never 9 Refused</t>
  </si>
  <si>
    <t>RMVTETH4</t>
  </si>
  <si>
    <t>Not including teeth lost for injury or orthodontics, how many of your permanent teeth have been removed because of tooth decay or gum disease?</t>
  </si>
  <si>
    <t>1 1 to 5 2 6 or more but not all 3 All 8 None Do not read: 7 Don’t know / Not sure 9 Refused</t>
  </si>
  <si>
    <t>CVDINFR4</t>
  </si>
  <si>
    <t>Ever told you that you had a heart attack also called a myocardial infarction?</t>
  </si>
  <si>
    <t>CVDCRHD4</t>
  </si>
  <si>
    <t>(Ever told) (you had) angina or coronary heart disease?</t>
  </si>
  <si>
    <t>CVDSTRK3</t>
  </si>
  <si>
    <t>(Ever told) (you had) a stroke?</t>
  </si>
  <si>
    <t>ASTHMA3</t>
  </si>
  <si>
    <t>(Ever told) (you had) asthma?</t>
  </si>
  <si>
    <t>ASTHNOW</t>
  </si>
  <si>
    <t>Do you still have asthma?</t>
  </si>
  <si>
    <t>CHCSCNC1</t>
  </si>
  <si>
    <t>(Ever told) (you had) skin cancer that is not melanoma?</t>
  </si>
  <si>
    <t>CHCOCNC1</t>
  </si>
  <si>
    <t>(Ever told) (you had) any melanoma or any other types of cancer?</t>
  </si>
  <si>
    <t>CHCCOPD3</t>
  </si>
  <si>
    <t>(Ever told) (you had) C.O.P.D. (chronic obstructive pulmonary disease), emphysema or chronic bronchitis?</t>
  </si>
  <si>
    <t>ADDEPEV3</t>
  </si>
  <si>
    <t>(Ever told) (you had) a depressive disorder (including depression, major depression, dysthymia, or minor depression)?</t>
  </si>
  <si>
    <t>CHCKDNY2</t>
  </si>
  <si>
    <t>Not including kidney stones, bladder infection or incontinence, were you ever told you had kidney disease?</t>
  </si>
  <si>
    <t>HAVARTH4</t>
  </si>
  <si>
    <t>(Ever told) (you had) some form of arthritis, rheumatoid arthritis, gout, lupus, or fibromyalgia?</t>
  </si>
  <si>
    <t>DIABETE4</t>
  </si>
  <si>
    <t>(Ever told) (you had) diabetes?</t>
  </si>
  <si>
    <t>1 Yes 2 Yes, but female told only during pregnancy 3 No 4 No, pre diabetes or borderline diabetes 7 Don’t know / Not sure 9 Refused</t>
  </si>
  <si>
    <t>DIABAGE4</t>
  </si>
  <si>
    <t>How old were you when you were first told you had diabetes?</t>
  </si>
  <si>
    <t>_ _ Code age in years [97 = 97 and older] 98 Don‘t know / Not sure 99 Refused</t>
  </si>
  <si>
    <t>MARITAL</t>
  </si>
  <si>
    <t>Marital Status</t>
  </si>
  <si>
    <t>1 Married 2 Divorced 3 Widowed 4 Separated 5 Never married Or 6 A member of an unmarried couple 9 Refused</t>
  </si>
  <si>
    <t>EDUCA</t>
  </si>
  <si>
    <t>What is the highest grade or year of school you completed ?</t>
  </si>
  <si>
    <t>1 Never attended school or only attended kindergarten 2 Grades 1 through 8 (Elementary) 3 Grades 9 through 11 (Some high school) 4 Grade 12 or GED (High school graduate) 5 College 1 year to 3 years (Some college or technical school) 6 College 4 years or more (College graduate) Do not read: 9 Refused</t>
  </si>
  <si>
    <t>RENTHOM1</t>
  </si>
  <si>
    <t>Do you own or rent your home?</t>
  </si>
  <si>
    <t>1 Own 2 Rent 3 Other arrangement 7 Don’t know / Not sure 9 Refused</t>
  </si>
  <si>
    <t>NUMHHOL4</t>
  </si>
  <si>
    <t>Not including cell phones or numbers used for computers , fax machines or security systems, do you have more than one landline telephone number in your household ?</t>
  </si>
  <si>
    <t>NUMPHON4</t>
  </si>
  <si>
    <t>How many of these landline telephone numbers are residential numbers?</t>
  </si>
  <si>
    <t>__ Enter number (1-5) 6 Six or more 7 Don’t know / Not sure 8 None 9 Refused</t>
  </si>
  <si>
    <t>CPDEMO1C</t>
  </si>
  <si>
    <t>How many cell phones do you have for your personal use?</t>
  </si>
  <si>
    <t>VETERAN3</t>
  </si>
  <si>
    <t>Have you ever served on active duty in the United States Armed Forces, either in the regular military or in a National Guard or military reserve unit?</t>
  </si>
  <si>
    <t>EMPLOY1</t>
  </si>
  <si>
    <t>Are you currently… ?</t>
  </si>
  <si>
    <t>1 Employed for wages 2 Self-employed 3 Out of work for 1 year or more 4 Out of work for less than 1 year 5 A Homemaker 6 A Student 7 Retired Or 8 Unable to work Do not read: 9 Refused</t>
  </si>
  <si>
    <t>CHILDREN</t>
  </si>
  <si>
    <t>How many children less than 18 years of age live in your household?</t>
  </si>
  <si>
    <t>_ _ Number of children 88 None 99 Refused</t>
  </si>
  <si>
    <t>INCOME3</t>
  </si>
  <si>
    <t>Is your annual household income from all sources—</t>
  </si>
  <si>
    <t>01 Less than $10,000? 02 Less than $15,000? ($10,000 to less than $15,000) 03 Less than $20,000? ($15,000 to less than $20,000) 04 Less than $25,000 05 Less than $35,000 If ($25,000 to less than $35,000) 06 Less than $50,000 If ($35,000 to less than $50,000) 07 Less than $75,000? ($50,000 to less than $75,000) 08 Less than $100,000? ($75,000 to less than $100,000) 09 Less than $150,000? ($100,000 to less than $150,000)? 10 Less than $200,000? ($150,000 to less than $200,000) 11 $200,000 or more Do not read: 77 Don’t know / Not sure 99 Refused</t>
  </si>
  <si>
    <t>PREGNANT</t>
  </si>
  <si>
    <t>To your knowledge , are you now pregnant?</t>
  </si>
  <si>
    <t>WEIGHT2</t>
  </si>
  <si>
    <t>About how much do you weigh without shoes?</t>
  </si>
  <si>
    <t>_ _ _ _ Weight (pounds/kilograms) 7777 Don’t know / Not sure 9999 Refused</t>
  </si>
  <si>
    <t>HEIGHT3</t>
  </si>
  <si>
    <t>About how tall are you without shoes?</t>
  </si>
  <si>
    <t>_ _ / _ _ Height (ft / inches/meters/centimete rs) 77/ 77 Don’t know / Not sure 99/ 99 Refused</t>
  </si>
  <si>
    <t>DEAF</t>
  </si>
  <si>
    <t>Some people who are deaf or have serious difficulty hearing use assistive devices to communicate by phone. Are you deaf or do you have serious difficulty hearing?</t>
  </si>
  <si>
    <t>BLIND</t>
  </si>
  <si>
    <t>Are you blind or do you have serious difficulty seeing, even when wearing glasses?</t>
  </si>
  <si>
    <t>DECIDE</t>
  </si>
  <si>
    <t>Because of a physical, mental, or emotional condition, do you have serious difficulty concentrating, remembering, or making decisions?</t>
  </si>
  <si>
    <t>DIFFWALK</t>
  </si>
  <si>
    <t>Do you have serious difficulty walking or climbing stairs?</t>
  </si>
  <si>
    <t>DIFFDRES</t>
  </si>
  <si>
    <t>Do you have difficulty dressing or bathing?</t>
  </si>
  <si>
    <t>DIFFALON</t>
  </si>
  <si>
    <t xml:space="preserve">Because of a physical, mental, or emotional condition, do you have difficulty doing errands alone such as visiting a doctor’s office or shopping? </t>
  </si>
  <si>
    <t>HADMAM</t>
  </si>
  <si>
    <t>Have you ever had a mammogram?</t>
  </si>
  <si>
    <t>HOWLONG</t>
  </si>
  <si>
    <t>How long has it been since you had your last mammogram?</t>
  </si>
  <si>
    <t>1 Within the past year (anytime less than 12 months ago) 2 Within the past 2 years (1 year but less than 2 years ago) 3 Within the past 3 years (2 years but less than 3 years ago) 4 Within the past 5 years (3 years but less than 5 years ago) 5 5 or more years ago 7 Don’t know / Not sure 9 Refused</t>
  </si>
  <si>
    <t>CERVSCRN</t>
  </si>
  <si>
    <t>Have you ever had a cervical cancer screening test?</t>
  </si>
  <si>
    <t>CRVCLCNC</t>
  </si>
  <si>
    <t>How long has it been since you had your last cervical cancer screening test?</t>
  </si>
  <si>
    <t>CRVCLPAP</t>
  </si>
  <si>
    <t>At your most recent cervical cancer screening, did you have a Pap test?</t>
  </si>
  <si>
    <t>CRVCLHPV</t>
  </si>
  <si>
    <t>At your most recent cervical cancer screening, did you have an H.P.V. test?</t>
  </si>
  <si>
    <t>HADHYST2</t>
  </si>
  <si>
    <t>Have you had a hysterectomy?</t>
  </si>
  <si>
    <t>HADSIGM4</t>
  </si>
  <si>
    <t>Colonoscopy and sigmoidoscopy are exams to check for colon cancer. Have you ever had either of these exams?</t>
  </si>
  <si>
    <t>COLNSIGM</t>
  </si>
  <si>
    <t>Have you had a colonoscopy, a sigmoidoscopy, or both?</t>
  </si>
  <si>
    <t>1 Colonoscopy 2 Sigmoidoscopy 3 Both  7 Don’t know/Not sure 9 Refused</t>
  </si>
  <si>
    <t>COLNTES1</t>
  </si>
  <si>
    <t>How long has it been since your most recent colonoscopy?</t>
  </si>
  <si>
    <t>1 Within the past year (anytime less than 12 months ago) 2 Within the past 2 years (1 year but less than 2 years ago) 3 Within the past 5 years (2 years but less than 5 years ago) 4 Within the past 10 years (5 years but less than 10 years ago) 5 10 or more years ago Do not read: 7 Don't know / Not sure 9 Refused</t>
  </si>
  <si>
    <t>SIGMTES1</t>
  </si>
  <si>
    <t>How long has it been since your most recent sigmoidoscopy?</t>
  </si>
  <si>
    <t>LASTSIG4</t>
  </si>
  <si>
    <t>How long has it been since your most recent colonoscopy or sigmoidoscopy?</t>
  </si>
  <si>
    <t>COLNCNCR</t>
  </si>
  <si>
    <t>Have you ever had any other kind of test for colorectal cancer, such as virtual colonoscopy, CT colonography, blood stool test, FIT DNA, or Cologuard test?</t>
  </si>
  <si>
    <t>VIRCOLO1</t>
  </si>
  <si>
    <t>A virtual colonoscopy uses a series of X-rays to take pictures of inside the colon. Have you ever had a virtual colonoscopy?</t>
  </si>
  <si>
    <t>VCLNTES2</t>
  </si>
  <si>
    <t>When was your most recent CT colonography or virtual colonoscopy?</t>
  </si>
  <si>
    <t>SMALSTOL</t>
  </si>
  <si>
    <t>One stool test uses a special kit to obtain a small amount of stool at home and returns the kit to the doctor or the lab. Have you ever had this test?</t>
  </si>
  <si>
    <t>STOLTEST</t>
  </si>
  <si>
    <t>How long has it been since you had this test?</t>
  </si>
  <si>
    <t>1 Within the past year (anytime less than 12 months ago) 2 Within the past 2 years (1 year but less than 2 years ago) 3 Within the past 3 years (2 years but less than 3 years ago) 4 Within the past 5 years (3 years but less than 5 years ago) 5 5 or more years ago Do not read: 7 Don’t know / Not sure 9 Refused</t>
  </si>
  <si>
    <t>STOOLDN2</t>
  </si>
  <si>
    <t>Another stool test uses a special kit to obtain an entire bowel movement at home and returns the kit to a lab. Have you ever had this test?</t>
  </si>
  <si>
    <t>BLDSTFIT</t>
  </si>
  <si>
    <t>Was the blood stool or FIT (you reported earlier) conducted as part of a Cologuard test?</t>
  </si>
  <si>
    <t>SDNATES1</t>
  </si>
  <si>
    <t>SMOKE100</t>
  </si>
  <si>
    <t>Have you smoked at least 100 cigarettes in your entire life?</t>
  </si>
  <si>
    <t>SMOKDAY2</t>
  </si>
  <si>
    <t>Do you now smoke cigarettes every day, some days, or not at all?</t>
  </si>
  <si>
    <t>1 Every day 2 Some days 3 Not at all 7 Don’t know / Not sure 9 Refused</t>
  </si>
  <si>
    <t>USENOW3</t>
  </si>
  <si>
    <t>Do you currently use chewing tobacco, snuff, or snus every day, some days, or not at all?</t>
  </si>
  <si>
    <t>ECIGNOW2</t>
  </si>
  <si>
    <t>Would you say you have never used e cigarettes or other electronic vaping products in your entire life or now use them every day, use them some days, or used them in the past but do not currently use them at all?</t>
  </si>
  <si>
    <t>1 Never used e-cigarettes in your entire life 2 Use them every day 3 Use them some days 4 Not at all (right now) Do not read: 7 Don’t know / Not sure 9 9 Refused</t>
  </si>
  <si>
    <t>LCSFIRST</t>
  </si>
  <si>
    <t>You’ve told us that you have smoked in the past or are currently smoking. The next questions are about screening for lung cancer. How old were you when you first started to smoke cigarettes regularly?</t>
  </si>
  <si>
    <t>_ _ _ Age in Years (001 – 100) 777 Don't know/Not sure 999 Refused 888 Never smoked cigarettes regularly</t>
  </si>
  <si>
    <t>LCSLAST</t>
  </si>
  <si>
    <t>How old were you when you last smoked cigarettes regularly?</t>
  </si>
  <si>
    <t>_ _ _ Age in Years (001 – 100) 777 Don't know/Not sure 999 Refused</t>
  </si>
  <si>
    <t>LCSNUMCG</t>
  </si>
  <si>
    <t>On average, when you [smoke/ smoked] regularly, about how many cigarettes {do/did} you usually smoke each day?</t>
  </si>
  <si>
    <t>_ _ _ Num ber of cigarettes 777 Don't know/Not sure 999 Refused</t>
  </si>
  <si>
    <t>LCSCTSC1</t>
  </si>
  <si>
    <t>The next question is about CT or CAT scans of your chest area. During this test, you lie flat on your back and are moved through an open, donut shaped x-ray machine. Have you ever had a CT or CAT scan of your chest area?</t>
  </si>
  <si>
    <t>LCSSCNCR</t>
  </si>
  <si>
    <t>Were any of the CT or CAT scans of your chest area done mainly to check or screen for lung cancer?</t>
  </si>
  <si>
    <t>LCSCTWHN</t>
  </si>
  <si>
    <t>When did you have your most recent CT or CAT scan of your chest area mainly to check or screen for lung cancer?</t>
  </si>
  <si>
    <t>1 Within the past year (anytime less than 12 months ago) 2 Within the past 2 years (1 year but less than 2 years) 3 Within the past 3 years (2 years but less than 3 years) 4 Within the past 5 years (3 years but less than 5 years) 5 Within the past 10 years (5 years but less than 10 years ago) 6 10 or more years ago Do not read: 7 Don’t know / Not sure 9 Refused</t>
  </si>
  <si>
    <t>ALCDAY4</t>
  </si>
  <si>
    <t>During the past 30 days, how many days per week or per month did you have at least one drink of any alcoholic beverage</t>
  </si>
  <si>
    <t xml:space="preserve">1 _ _ Days per week 2 _ _ Days in past 30 days 888 No drinks in past 30 days  777 Don’t know / Not sure 999 Refused </t>
  </si>
  <si>
    <t>AVEDRNK3</t>
  </si>
  <si>
    <t>During the past 30 days, on the days when you drank, about how many drinks did you drink on the average?</t>
  </si>
  <si>
    <t>_ _ Number of drinks 88 None 77 Don’t know / Not sure 99 Refused</t>
  </si>
  <si>
    <t>DRNK3GE5</t>
  </si>
  <si>
    <t>Considering all types of alcoholic beverages, how many times during the past 30 days did you have X [CATI X = 5 for men, X = 4 for women] or more drinks on an occasion?</t>
  </si>
  <si>
    <t>_ _ Number of times 77 Don’t know / Not sure 88 no days 99 Refused</t>
  </si>
  <si>
    <t>MAXDRNKS</t>
  </si>
  <si>
    <t>During the past 30 days, what is the largest number of drinks you had on any occasion?</t>
  </si>
  <si>
    <t>_ _ Number of drinks 77 Don’t know / Not sure 99 Refused</t>
  </si>
  <si>
    <t>FLUSHOT7</t>
  </si>
  <si>
    <t>During the past 12 months, have you had either a flu vaccine that was sprayed in your nose or a flu shot injected into your arm?</t>
  </si>
  <si>
    <t>FLSHTMY3</t>
  </si>
  <si>
    <t>During what month and year did you receive your most recent flu vaccine that was sprayed in your nose or flu shot injected into your arm?</t>
  </si>
  <si>
    <t>_ _ / _ _ _ _ Month / Year 77 / 7777 Don’t know / Not sure 09 / 9999 Refused</t>
  </si>
  <si>
    <t>HIVTST7</t>
  </si>
  <si>
    <t>Including fluid testing from your mouth, but not including tests you may have had for blood donation, have you ever been tested for H.I.V?</t>
  </si>
  <si>
    <t>HIVTSTD3</t>
  </si>
  <si>
    <t>Not including blood donations, in what month and year was your last H.I.V. test?</t>
  </si>
  <si>
    <t>_ _ /_ _ _ _ Code month and year 77/ 7777 Don’t know / Not sure 99/ 9999 Refused</t>
  </si>
  <si>
    <t>HIVRISK5</t>
  </si>
  <si>
    <t>I am going to read you a list. When I am done, please tell me if any of the situations apply to you. You do not need to tell me which one. You have injected any drug other than those prescribed for you in the past year. You have been treated for a sexually transmitted disease or STD in the past year. You have given or received money or drugs in exchange for sex in the past year. You had anal sex without a condom in the past year. You had four or more sex partners in the past year. Do any of these situations apply to you?</t>
  </si>
  <si>
    <t>PNEUVAC4</t>
  </si>
  <si>
    <t>Have you ever had a pneumonia shot also known as a pneumococcal vaccine?</t>
  </si>
  <si>
    <t>TETANUS1</t>
  </si>
  <si>
    <t>Have you received a tetanus shot in the past 10 years?</t>
  </si>
  <si>
    <t>1 Yes, received Tdap 2 Yes, received tetanus shot, but not Tdap 3 Yes, received tetanus shot but not sure what type 4 No, did not receive any tetanus shot in the past 10 years 7 Don’t know/Not sure 9 Refused</t>
  </si>
  <si>
    <t>COVIDPOS</t>
  </si>
  <si>
    <t>Has a doctor, nurse, or other health professional ever told you that you tested positive for COVID 19?</t>
  </si>
  <si>
    <t>1 Yes 3 Tested positive using home test without health professional 2 No 7 Don’t know / Not sure 9 Refused</t>
  </si>
  <si>
    <t>COVIDSMP</t>
  </si>
  <si>
    <t>Did you have any symptoms lasting 3 months or longer that you did not have prior to having coronavirus or COVID-19?</t>
  </si>
  <si>
    <t>COVIDPRM</t>
  </si>
  <si>
    <t>Which of these was the primary symptom that you experienced? Was it….</t>
  </si>
  <si>
    <t>1 Tiredness or fatigue 2 Difficulty thinking or concentrating or forgetfulness/memory problems (sometimes referred to as “brain fog”) 3 Difficulty breathing or shortness of breath 4 Joint or muscle pain 5 Fast-beating or pounding heart (also known as heart palpitations) or chest pain 6 Dizziness on standing 7 Depression, anxiety, or mood changes 8 Symptoms that get worse after physical or mental activities 9 You did not have any long-term symptoms that limited your activities. 10 Loss of taste or smell 11 Some other symptom 77 Don’t know/Not sure 99 Refused</t>
  </si>
  <si>
    <t>PDIABTS1</t>
  </si>
  <si>
    <t>When was the last time you had a blood test for high blood sugar or diabetes by a doctor, nurse, or other health professional?</t>
  </si>
  <si>
    <t>1 Within the past year (anytime less than 12 months ago) 2 Within the last 2 years (1 year but less than 2 years ago) 3 Within the last 3 years (2 years but less than 3 years ago) 4 Within the last 5 years (3 to 4 years but less than 5 years ago) 5 Within the last 10 years (5 to 9 years but less than 10 years ago) 6 10 years ago or more 8 Never 7 Don’t know / Not sure 9 Refused</t>
  </si>
  <si>
    <t>PREDIAB2</t>
  </si>
  <si>
    <t>Has a doctor or other health professional ever told you that you had prediabetes or borderline diabetes?</t>
  </si>
  <si>
    <t>1 Yes 2 Yes, during pregnancy 3 No 7 Don’t know / Not sure 9 Refused</t>
  </si>
  <si>
    <t>DIABTYPE</t>
  </si>
  <si>
    <t>According to your doctor or other health professional, what type of diabetes do you have?</t>
  </si>
  <si>
    <t>1 Type 1 2 Type 2 7 Don’t know/ Not sure 9 Refused</t>
  </si>
  <si>
    <t>INSULIN1</t>
  </si>
  <si>
    <t>Insulin can be taken by shot or pump. Are you now taking insulin?</t>
  </si>
  <si>
    <t>1 Yes 2 No 7 Don’t know/ not sure 9 Refused</t>
  </si>
  <si>
    <t>CHKHEMO3</t>
  </si>
  <si>
    <t>About how many times in the past 12 months has a doctor, nurse, or other health professional checked you for A-one-C?</t>
  </si>
  <si>
    <t>_ _ Number of times [76 = 76 or more] 88 None 98 Never heard of A one-C test 77 Don’t know / Not sure 99 Refused</t>
  </si>
  <si>
    <t>EYEEXAM1</t>
  </si>
  <si>
    <t>When was the last time you had an eye exam in which the pupils were dilated, making you temporarily sensitive to bright light?</t>
  </si>
  <si>
    <t>1 Within the past month (anytime less than 1 month ago) 2 Within the past year (1 month but less than 12 months ago) 3 Within the past 2 years (1 year but less than 2 years ago) 4 2 or more years ago Do not read: 7 Don’t know / Not sure 8 Never 9 Refused</t>
  </si>
  <si>
    <t>DIABEYE1</t>
  </si>
  <si>
    <t>When was the last time a doctor, nurse or other health professional took a photo of the back of your eye with a specialized camera?</t>
  </si>
  <si>
    <t>TOLDCFS</t>
  </si>
  <si>
    <t>Have you ever been told by a doctor or other health professional that you had Chronic Fatigue Syndrome (CFS) or (Myalgic Encephalomyelitis) ME?</t>
  </si>
  <si>
    <t>1 Yes 2 No 7 Don’t know/ Not sure 9 Refused</t>
  </si>
  <si>
    <t>HAVECFS</t>
  </si>
  <si>
    <t>Do you still have Chronic Fatigue Syndrome (CFS) or (Myalgic Encephalomyelitis) ME?</t>
  </si>
  <si>
    <t>WORKCFS</t>
  </si>
  <si>
    <t>Thinking about your CFS or ME, during the past 6 months, how many hours a week on average have you been able to work at a job or business for pay?</t>
  </si>
  <si>
    <t>1 0 or no hours -- cannot work at all because of CFS or ME 2 1 - 10 hours a week 3 11- 20 hours a week 4 21- 30 hours a week 5 31 - 40 hours a week Do not read 7 Don’t know/ Not sure 9 Refused</t>
  </si>
  <si>
    <t>DIABEDU1</t>
  </si>
  <si>
    <t>When was the last time you took a course or class in how to manage your diabetes yourself?</t>
  </si>
  <si>
    <t>FEETSORE</t>
  </si>
  <si>
    <t>Have you ever had any sores or irritations on your feet that took more than four weeks to heal?</t>
  </si>
  <si>
    <t>IMFVPLA3</t>
  </si>
  <si>
    <t>At what kind of place did you get your last flu shot or vaccine?</t>
  </si>
  <si>
    <t>01 A doctor’s office or health maintenance organization (HMO) 02 A health department 03 Another type of clinic or health center (a community health center) 04 A senior, recreation, or community center 05 A store (supermarket, drug store) 06 A hospital (inpatient or outpatient) 07 An emergency room 08 Workplace 09 Some other kind of place 10 A school 11 A drive though location at some other place than listed above Do not read: 77 Don’t know / Not sure 99 Refused</t>
  </si>
  <si>
    <t>HPVADVC4</t>
  </si>
  <si>
    <t>Have you ever had an H.P.V. vaccination?</t>
  </si>
  <si>
    <t>1 Yes 2 No 3 Doctor refused when asked 7 Don’t know / Not sure 9 Refused</t>
  </si>
  <si>
    <t>HPVADSHT</t>
  </si>
  <si>
    <t>How many HPV shots did you receive?</t>
  </si>
  <si>
    <t>_ _ Number of shots (1 2) 3 All shots 77 Don’t know / Not sure 99 Refused</t>
  </si>
  <si>
    <t>SHINGLE2</t>
  </si>
  <si>
    <t>Have you ever had the shingles or zoster vaccine?</t>
  </si>
  <si>
    <t>COVIDVA1</t>
  </si>
  <si>
    <t>Have you received at least one dose of a COVID-19 vaccination?</t>
  </si>
  <si>
    <t>COVACGET</t>
  </si>
  <si>
    <t>Would you say you will definitely get a vaccine, will probably get a vaccine, will probably not get a vaccine, will definitely not get a vaccine, or are you not sure?</t>
  </si>
  <si>
    <t>1 = Will definitely get a vaccine 2 = Will probably get a vaccine 3 = Will probably not get a vaccine 4 = Will definitely not get a vaccine 7 = Don’t know/Not sure 9 = Refused</t>
  </si>
  <si>
    <t>COVIDNU1</t>
  </si>
  <si>
    <t>How many COVID-19 vaccinations have you received?</t>
  </si>
  <si>
    <t>1 One 2 Two  3 Three  4 Four or more 7 Don’t know / Not sure 9 Refused</t>
  </si>
  <si>
    <t>COVIDINT</t>
  </si>
  <si>
    <t>Which of the following best describes your intent to take the recommended COVID vaccinations… Would you say you have already received all recommended doses, plan to receive all recommended doses or do not plan to receive all recommended doses?</t>
  </si>
  <si>
    <t>1 = Already received all recommended doses 2 = Plan to receive all recommended doses 3 = Do not plan to receive all recommended doses 7 = Don’t know/Not sure 9 = Refused</t>
  </si>
  <si>
    <t>COVIDFS1</t>
  </si>
  <si>
    <t>During what month and year did you receive your (first) COVID 19 vaccination?</t>
  </si>
  <si>
    <t>COVIDSE1</t>
  </si>
  <si>
    <t>During what month and year did you receive your second COVID-19 vaccination?</t>
  </si>
  <si>
    <t>COPDCOGH</t>
  </si>
  <si>
    <t>During the past 3 months, did you have a cough on most days?</t>
  </si>
  <si>
    <t>COPDFLEM</t>
  </si>
  <si>
    <t>During the past 3 months, did you cough up phlegm [FLEM] or mucus on most days?</t>
  </si>
  <si>
    <t>COPDBRTH</t>
  </si>
  <si>
    <t>Do you have shortness of breath either when hurrying on level ground or when walking up a slight hill or stairs?</t>
  </si>
  <si>
    <t>COPDBTST</t>
  </si>
  <si>
    <t>Have you ever been given a breathing test to diagnose breathing problems?</t>
  </si>
  <si>
    <t>COPDSMOK</t>
  </si>
  <si>
    <t>Over your lifetime, how many years have you smoked tobacco products?</t>
  </si>
  <si>
    <t>_ _ Number of years (01 76) 88 Never smoked or smoked less than one year 77 Don’t know/Not sure 99 Refused</t>
  </si>
  <si>
    <t>CNCRDIFF</t>
  </si>
  <si>
    <t>You’ve told us that you have had cancer. I would like to ask you a few more questions about your cancer. How many different types of cancer have you had?</t>
  </si>
  <si>
    <t>1 Only one 2 Two 3 Three or more 7 Don't know / Not sure 9 Refused</t>
  </si>
  <si>
    <t>CNCRAGE</t>
  </si>
  <si>
    <t>At what age were you told that you had cancer?</t>
  </si>
  <si>
    <t>_ _ Age in Years (97 = 97 and older) 98 Don't know/Not sure 99 Refused</t>
  </si>
  <si>
    <t>CNCRTYP2</t>
  </si>
  <si>
    <t>What kind of cancer is it?</t>
  </si>
  <si>
    <t>01 Bladder 02 Blood 03 Bone 04 Brain 05 Breast 06 Cervix/Cervical 07 Colon 08 Esophagus/Esophageal 09 Gallbladder 10 Kidney 11 Larynx-trachea 12 Leukemia 13 Liver 14 Lung 15 Lymphoma 16 Melanoma 17 Mouth/tongue/lip 18 Ovary/Ovarian 19 Pancreas/Pancreatic 20 Prostate 21 Rectum/Rectal 22 Skin (non melanoma) 23 Skin (don't know what kind) 24 Soft tissue (muscle or fat) 25 Stomach 26 Testis/Testicular 27 Throat - pharynx 28 Thyroid 29 Uterus/Uterine 30 Other Do not read: 77 Don’t know / Not sure 99 Refused</t>
  </si>
  <si>
    <t>CSRVTRT3</t>
  </si>
  <si>
    <t>Are you currently receiving treatment for cancer?</t>
  </si>
  <si>
    <t>1 Yes 2 No, I’ve completed treatment 3 No, I’ve refused treatment 4 No, I haven’t started treatment  5 Treatment was not necessary 7 Don’t know / Not sure 9 Refused</t>
  </si>
  <si>
    <t>CSRVDOC1</t>
  </si>
  <si>
    <t>What type of doctor provides the majority of your health care? Is it a….</t>
  </si>
  <si>
    <t>01 Cancer Surgeon 02 Family Practitioner 03 General Surgeon 04 Gynecologic Oncologist 05 General Practitioner, Internist 06 Plastic Surgeon, Reconstructive Surgeon 07 Medical Oncologist 08 Radiation Oncologist 09 Urologist 10 Other Do not read: 77 Don’t know / Not sure 99 Refused</t>
  </si>
  <si>
    <t>CSRVSUM</t>
  </si>
  <si>
    <t>Did any doctor, nurse, or other health professional ever give you a written summary of all the cancer treatments that you received?</t>
  </si>
  <si>
    <t>CSRVRTRN</t>
  </si>
  <si>
    <t>Have you ever received instructions from a doctor, nurse, or other health professional about where you should return or who you should see for routine cancer check ups after completing your treatment for cancer?</t>
  </si>
  <si>
    <t>CSRVINST</t>
  </si>
  <si>
    <t>Were these instructions written down or printed on paper for you?</t>
  </si>
  <si>
    <t>CSRVINSR</t>
  </si>
  <si>
    <t>With your most recent diagnosis of cancer, did you have health insurance that paid for all or part of your cancer treatment?</t>
  </si>
  <si>
    <t>CSRVDEIN</t>
  </si>
  <si>
    <t>Were you ever denied health insurance or life insurance coverage because of your cancer?</t>
  </si>
  <si>
    <t>CSRVCLIN</t>
  </si>
  <si>
    <t>Did you participate in a clinical trial as part of your cancer treatment?</t>
  </si>
  <si>
    <t>CSRVPAIN</t>
  </si>
  <si>
    <t>Do you currently have physical pain caused by your cancer or cancer treatment?</t>
  </si>
  <si>
    <t>CSRVCTL2</t>
  </si>
  <si>
    <t>Would you say your pain is currently under control…?</t>
  </si>
  <si>
    <t>1 With medication (or treatment) 2 Without medication (or treatment) 3 Not under control, with medication (or treatment) 4 Not under control, without medication (or treatment) Do not read: 7 Don’t know / Not sure 9 Refused</t>
  </si>
  <si>
    <t>PSATEST1</t>
  </si>
  <si>
    <t>Have you ever had a P.S.A. test?</t>
  </si>
  <si>
    <t>PSATIME1</t>
  </si>
  <si>
    <t>About how long has it been since your most recent P.S.A. test?</t>
  </si>
  <si>
    <t>PCPSARS2</t>
  </si>
  <si>
    <t>What was the main reason you had this P.S.A. test – was it …?</t>
  </si>
  <si>
    <t>1 Part of a routine exam 2 Because of a problem 3 other reason Do not read: 7 Don’t know / Not sure 9 Refused</t>
  </si>
  <si>
    <t>CIMEMLOS</t>
  </si>
  <si>
    <t>The next few questions ask about difficulties in thinking or remembering that can make a big difference in everyday activities. This does not refer to occasionally forgetting your keys or the name of someone you recently met, which is normal. This refers to confusion or memory loss that is happening more often or getting worse, such as forgetting how to do things you’ve always done or forgetting things that you would normally know. We want to know how these difficulties impact you. During the past 12 months, have you experienced confusion or memory loss that is happening more often or is getting worse?</t>
  </si>
  <si>
    <t>CDHOUSE</t>
  </si>
  <si>
    <t xml:space="preserve">During the past 12 months, as a result of confusion or memory loss, how often have you given up day-to-day household activities or chores you used to do, such as cooking, cleaning, taking medications, driving, or paying bills? Would you say it is… </t>
  </si>
  <si>
    <t>1 Always 2 Usually 3 Sometimes 4 Rarely 5 Never Do not read: 7 Don't know/Not sure 9 Refused</t>
  </si>
  <si>
    <t>CDASSIST</t>
  </si>
  <si>
    <t>As a result of confusion or memory loss, how often do you need assistance with these day-to-day activities? Would you say it is…</t>
  </si>
  <si>
    <t>1 Always 2 Usually 3 Sometimes 4 Rarely 5 Never 7 Don't know/Not sure 9 Refused</t>
  </si>
  <si>
    <t>CDHELP</t>
  </si>
  <si>
    <t>When you need help with these day-to-day activities, how often are you able to get the help that you need? Would you say it is…</t>
  </si>
  <si>
    <t>CDSOCIAL</t>
  </si>
  <si>
    <t>During the past 12 months, how often has confusion or memory loss interfered with your ability to work, volunteer, or engage in social activities outside the home? Would you say it is…</t>
  </si>
  <si>
    <t>CDDISCUS</t>
  </si>
  <si>
    <t>Have you or anyone else discussed your confusion or memory loss with a health care professional?</t>
  </si>
  <si>
    <t>CAREGIV1</t>
  </si>
  <si>
    <t>During the past 30 days, did you provide regular care or assistance to a friend or family member who has a health problem or disability?</t>
  </si>
  <si>
    <t>1 Yes 2 No 7 Don’t know/ not sure 8 Caregiving recipient died in the past 30 days 9 Refused</t>
  </si>
  <si>
    <t>CRGVREL4</t>
  </si>
  <si>
    <t>What is his or her relationship to you?</t>
  </si>
  <si>
    <t>01 Mother 02 Father 03 Mother-in-law 04 Father-in-law 05 Child 06 Husband 07 Wife 08 Live-in partner 09 Brother or brother-in-law 10 Sister or sister in-law 11 Grandmother 12 Grandfather 13 Grandchild 14 Other relative 15 Non-relative/ Family friend 77 Don’t know/Not sure 99 Refused</t>
  </si>
  <si>
    <t>CRGVLNG1</t>
  </si>
  <si>
    <t>For how long have you provided care for that person?</t>
  </si>
  <si>
    <t>1 Less than 30 days 2 1 month to less than 6 months 3 6 months to less than 2 years 4 2 years to less than 5 years 5 5 years or more Do not read: 7 Don’t Know/ Not Sure 9 Refused</t>
  </si>
  <si>
    <t>CRGVHRS1</t>
  </si>
  <si>
    <t>In an average week, how many hours do you provide care or assistance?</t>
  </si>
  <si>
    <t>1 Up to 8 hours per week 2 9 to 19 hours per week 3 20 to 39 hours per week 4 40 hours or more Do not read: 7 Don’t know/Not sure 9 Refused</t>
  </si>
  <si>
    <t>CRGVPRB3</t>
  </si>
  <si>
    <t>What is the main health problem, long term illness, or disability that the person you care for has?</t>
  </si>
  <si>
    <t>01 Arthritis/ rheumatism 02 Asthma 03 Cancer 04 Chronic respiratory conditions such as emphysema or COPD 05 Alzheimer’s disease, dementia or other cognitive impairment disorder 06 Developmental disabilities such as autism, Down’s Syndrome, and spina bifida 07 Diabetes 08 Heart disease, hypertension, stroke 09 Human Immunodeficiency Virus Infection (H.I.V.) 10 Mental illnesses, such as anxiety, depression, or schizophrenia 11 Other organ failure or diseases such as kidney or liver problems 12 Substance abuse or addiction disorders 13 Injuries, including broken bones 14 Old age/ infirmity/frailty 15 Other 77 Don’t know/Not sure 99 Refused</t>
  </si>
  <si>
    <t>CRGVALZD</t>
  </si>
  <si>
    <t>Does the person you care for also have Alzheimer’s disease, dementia or other cognitive impairment disorder?</t>
  </si>
  <si>
    <t>CRGVPER1</t>
  </si>
  <si>
    <t>In the past 30 days, did you provide care for this person by managing personal care such as giving medications, feeding, dressing, or bathing?</t>
  </si>
  <si>
    <t>CRGVHOU1</t>
  </si>
  <si>
    <t>In the past 30 days, did you provide care for this person by managing household tasks such as cleaning, managing money, or preparing meals?</t>
  </si>
  <si>
    <t>CRGVEXPT</t>
  </si>
  <si>
    <t>In the next 2 years, do you expect to provide care or assistance to a friend or family member who has a health problem or disability?</t>
  </si>
  <si>
    <t>PSASUGST</t>
  </si>
  <si>
    <t>Who first suggested this P.S.A. test: you, your doctor, or someone else?</t>
  </si>
  <si>
    <t>1 Self 2 Doctor, nurse, health care professional 3 Someone else 7 Don’t Know / Not sure 9 Refused</t>
  </si>
  <si>
    <t>PCSTALK1</t>
  </si>
  <si>
    <t>When you met with a doctor, nurse, or other health professional, did they talk about the advantages, the disadvantages, or both advantages and disadvantages of the prostate specific antigen or PSA test?</t>
  </si>
  <si>
    <t>1 Advantages 2 Disadvantages 3 Both Advantages and disadvantages DO NOT READ 4. Neither 7 Don’t know/ not sure 9 Refused</t>
  </si>
  <si>
    <t>ACEDEPRS</t>
  </si>
  <si>
    <t>Now, looking back before you were 18 years of age---. 1) Did you live with anyone who was depressed, mentally ill, or suicidal?</t>
  </si>
  <si>
    <t>1 Yes 2 No 7 Don’t Know/Not Sure 9 Refused</t>
  </si>
  <si>
    <t>ACEDRINK</t>
  </si>
  <si>
    <t>Did you live with anyone who was a problem drinker or alcoholic?</t>
  </si>
  <si>
    <t>ACEDRUGS</t>
  </si>
  <si>
    <t>Did you live with anyone who used illegal street drugs or who abused prescription medications?</t>
  </si>
  <si>
    <t>ACEPRISN</t>
  </si>
  <si>
    <t>Did you live with anyone who served time or was sentenced to serve time in a prison, jail, or other correctional facility?</t>
  </si>
  <si>
    <t>ACEDIVRC</t>
  </si>
  <si>
    <t>Were your parents separated or divorced?</t>
  </si>
  <si>
    <t>1 Yes 2 No 8 Parents not married 7 Don’t Know/Not Sure 9 Refused</t>
  </si>
  <si>
    <t>ACEPUNCH</t>
  </si>
  <si>
    <t>How often did your parents or adults in your home ever slap, hit, kick, punch or beat each other up? Was it…</t>
  </si>
  <si>
    <t>1 Never 2 Once 3 More than once Don’t Read: 7 Don’t know/Not Sure 9 Refused</t>
  </si>
  <si>
    <t>ACEHURT1</t>
  </si>
  <si>
    <t>Not including spanking, (before age 18), how often did a parent or adult in your home ever hit, beat, kick, or physically hurt you in any way? Was it—</t>
  </si>
  <si>
    <t>ACESWEAR</t>
  </si>
  <si>
    <t>How often did a parent or adult in your home ever swear at you, insult you, or put you down? Was it…</t>
  </si>
  <si>
    <t>ACETOUCH</t>
  </si>
  <si>
    <t>How often did anyone at least 5 years older than you or an adult, ever touch you sexually? Was it…</t>
  </si>
  <si>
    <t>ACETTHEM</t>
  </si>
  <si>
    <t>How often did anyone at least 5 years older than you or an adult, try to make you touch them sexually? Was it…</t>
  </si>
  <si>
    <t>ACEHVSEX</t>
  </si>
  <si>
    <t>How often did anyone at least 5 years older than you or an adult, force you to have sex? Was it…</t>
  </si>
  <si>
    <t>ACEADSAF</t>
  </si>
  <si>
    <t>For how much of your childhood was there an adult in your household who made you feel safe and protected? Would you say never, a little of the time, some of the time, most of the time, or all of the time?</t>
  </si>
  <si>
    <t>1. Never 2. A little of the time 3. Some of the time 4. Most of the time 5. All of the time 7 Don’t Know/Not sure 9 Refused</t>
  </si>
  <si>
    <t>ACEADNED</t>
  </si>
  <si>
    <t>For how much of your childhood was there an adult in your household who tried hard to make sure your basic needs were met? Would you say never, a little of the time, some of the time, most of the time, or all of the time?</t>
  </si>
  <si>
    <t>LSATISFY</t>
  </si>
  <si>
    <t>In general, how satisfied are you with your life? Are you..</t>
  </si>
  <si>
    <t>1 Very satisfied 2 Satisfied 3 Dissatisfied 4 Very dissatisfied 7 Don’t know/not sure 9 Refused</t>
  </si>
  <si>
    <t>EMTSUPRT</t>
  </si>
  <si>
    <t>How often do you get the social and emotional support that you need? Is that…</t>
  </si>
  <si>
    <t>1 Always 2 Usually 3 Sometimes 4 Rarely 5 Never 7 Don’t know/not sure 9 Refused</t>
  </si>
  <si>
    <t>SDHISOLT</t>
  </si>
  <si>
    <t>How often do you feel socially isolated from others? Is it…</t>
  </si>
  <si>
    <t>SDHEMPLY</t>
  </si>
  <si>
    <t>In the past 12 months have you lost employment or had hours reduced</t>
  </si>
  <si>
    <t>1 Yes 2 No 7 Don’t Know/ Not sure 9 Refused</t>
  </si>
  <si>
    <t>FOODSTMP</t>
  </si>
  <si>
    <t>During the past 12 months, have you received food stamps, also called SNAP, the Supplemental Nutrition Assistance Program on an EBT card?</t>
  </si>
  <si>
    <t>SDHFOOD1</t>
  </si>
  <si>
    <t>During the past 12 months how often did the food that you bought not last, and you didn’t have money to get more? Was that…</t>
  </si>
  <si>
    <t>SDHBILLS</t>
  </si>
  <si>
    <t>During the last 12 months, was there a time when you were not able to pay your mortgage, rent or utility bills?</t>
  </si>
  <si>
    <t>SDHUTILS</t>
  </si>
  <si>
    <t>During the last 12 months was there a time when an electric, gas, oil, or water company threatened to shut off services?</t>
  </si>
  <si>
    <t>SDHTRNSP</t>
  </si>
  <si>
    <t>During the past 12 months has a lack of reliable transportation kept you from medical appointments, meetings, work, or from getting things needed for daily living?</t>
  </si>
  <si>
    <t>SDHSTRE1</t>
  </si>
  <si>
    <t>Stress means a situation in which a person feels tense, restless, nervous or anxious or is unable to sleep at night because their mind is troubled all the time. Within the last 30 days, how often have you felt this kind of stress? Was it…</t>
  </si>
  <si>
    <t>MARIJAN1</t>
  </si>
  <si>
    <t>During the past 30 days, on how many days did you use marijuana or cannabis?</t>
  </si>
  <si>
    <t>_ _ 01-30 Number of days 88 None 77 Don’t know/not sure 99 Refused</t>
  </si>
  <si>
    <t>MARJSMOK</t>
  </si>
  <si>
    <t>During the past 30 days, did you smoke it (for example, in a joint, bong, pipe, or blunt)?</t>
  </si>
  <si>
    <t>MARJEAT</t>
  </si>
  <si>
    <t>…eat it or drink it (for example, in brownies, cakes, cookies, or candy, or in tea, cola, or alcohol)?</t>
  </si>
  <si>
    <t>MARJVAPE</t>
  </si>
  <si>
    <t>…vaporize it (for example, in an e cigarette-like vaporizer or another vaporizing device)</t>
  </si>
  <si>
    <t>MARJDAB</t>
  </si>
  <si>
    <t>…dab it (for example, using a dabbing rig, knife, or dab pen)?</t>
  </si>
  <si>
    <t>MARJOTHR</t>
  </si>
  <si>
    <t>…use it in some other way?</t>
  </si>
  <si>
    <t>USEMRJN4</t>
  </si>
  <si>
    <t>During the past 30 days, which one of the following ways did you use marijuana the most often?</t>
  </si>
  <si>
    <t>1 Smoke it (for example, in a joint, bong, pipe, or blunt).  2 Eat it nor drink it (for example, in brownies, cakes, cookies, or candy or in tea, cola or alcohol) 3 Drink it (for example, in tea, cola, or alcohol) 3 Vaporize it (for example, in an e cigarette-like vaporizer or another vaporizing device) 4 Dab it (for example, using a dabbing rig, knife, or dab pen), or 5 Use it some other way. Do not read: 7 Don’t know/not sure 9 Refused</t>
  </si>
  <si>
    <t>LASTSMK2</t>
  </si>
  <si>
    <t>How long has it been since you last smoked a cigarette, even one or two puffs?</t>
  </si>
  <si>
    <t>Read if necessary: 01 Within the past month (less than 1 month ago) 02 Within the past 3 months (1 month but less than 3 months ago) 03 Within the past 6 months (3 months but less than 6 months ago) 04 Within the past year (6 months but less than 1 year ago) 05 Within the past 5 years (1 year but less than 5 years ago) 06 Within the past 10 years (5 years but less than 10 years ago) 07 10 years or more 08 Never smoked regularly 77 Don’t know / Not sure 99 Refused</t>
  </si>
  <si>
    <t>STOPSMK2</t>
  </si>
  <si>
    <t>During the past 12 months, have you stopped smoking for one day or longer because you were trying to quit smoking?</t>
  </si>
  <si>
    <t>MENTCIGS</t>
  </si>
  <si>
    <t>Currently, when you smoke cigarettes, do you usually smoke menthol cigarettes?</t>
  </si>
  <si>
    <t>MENTECIG</t>
  </si>
  <si>
    <t>Currently, when you use e cigarettes, do you usually use menthol e cigarettes?</t>
  </si>
  <si>
    <t>HEATTBCO</t>
  </si>
  <si>
    <t>Before today, have you heard of heated tobacco products?</t>
  </si>
  <si>
    <t>ASBIALCH</t>
  </si>
  <si>
    <t>You told me earlier that your last routine checkup was [within the past year/within the past 2 years]. At that checkup, were you asked in person or on a form if you drink alcohol?</t>
  </si>
  <si>
    <t>ASBIDRNK</t>
  </si>
  <si>
    <t>Did the health care provider ask you in person or on a form how much you drink?</t>
  </si>
  <si>
    <t>ASBIBING</t>
  </si>
  <si>
    <t>Did the healthcare provider specifically ask whether you drank [5 FOR MEN /4 FOR WOMEN] or more alcoholic drinks on an occasion?</t>
  </si>
  <si>
    <t>FIREARM5</t>
  </si>
  <si>
    <t>Are any firearms now kept in or around your home?</t>
  </si>
  <si>
    <t>GUNLOAD</t>
  </si>
  <si>
    <t>Are any of these firearms now loaded?</t>
  </si>
  <si>
    <t>LOADULK2</t>
  </si>
  <si>
    <t>Are any of these loaded firearms also unlocked?</t>
  </si>
  <si>
    <t>RCSGEND1</t>
  </si>
  <si>
    <t>Is the child a boy or a girl?</t>
  </si>
  <si>
    <t>1 Boy 2 Girl 3 Non-binary/other 0 Refused</t>
  </si>
  <si>
    <t>RCSXBRTH</t>
  </si>
  <si>
    <t>What is the birth month and year of the [Xth] child?</t>
  </si>
  <si>
    <t>RCSRLTN2</t>
  </si>
  <si>
    <t>How are you related to the child? Are you a….</t>
  </si>
  <si>
    <t>1 Parent (include biologic, step, or adoptive parent) 2 Grandparent 3 Foster parent or guardian 4 Sibling (include biologic, step, and adoptive sibling) 5 Other relative 6 Not related in any way Do not read: 7 Don’t know / Not sure 9 Refused</t>
  </si>
  <si>
    <t>CASTHDX2</t>
  </si>
  <si>
    <t>The next two questions are about the Xth child. Has a doctor, nurse or other health professional EVER said that the child has asthma?</t>
  </si>
  <si>
    <t>ASBIADVC</t>
  </si>
  <si>
    <t>Were you offered advice about what level of drinking is harmful or risky for your health?</t>
  </si>
  <si>
    <t>BIRTHSEX</t>
  </si>
  <si>
    <t>What was your sex at birth? Was it male or female?</t>
  </si>
  <si>
    <t>1 Male 2 Female 7 Don’t know/Not sure 9 Refused</t>
  </si>
  <si>
    <t>SOMALE</t>
  </si>
  <si>
    <t>Which of the following best represents how you think of yourself?</t>
  </si>
  <si>
    <t>1 = Gay 2 = Straight, that is, not gay 3 = Bisexual 4 = Something else 7 = I don't know the answer 9 = Refused</t>
  </si>
  <si>
    <t>SOFEMALE</t>
  </si>
  <si>
    <t>1 = Lesbian or Gay 2 = Straight, that is, not gay 3 = Bisexual 4 = Something else 7 = I don't know the answer 9 = Refused</t>
  </si>
  <si>
    <t>TRNSGNDR</t>
  </si>
  <si>
    <t>Do you consider yourself to be transgender?</t>
  </si>
  <si>
    <t>1 Yes, Transgender, male-to-female 2 Yes, Transgender, female to male 3 Yes, Transgender, gender nonconforming 4 No 7 Don’t know/not sure 9 Refused</t>
  </si>
  <si>
    <t>HADSEX</t>
  </si>
  <si>
    <t>In the past 12 months, did you have sexual intercourse?</t>
  </si>
  <si>
    <t>PFPPRVN4</t>
  </si>
  <si>
    <t>The last time you had sexual intercourse, did you or your partner do anything to keep you from getting pregnant?</t>
  </si>
  <si>
    <t>TYPCNTR9</t>
  </si>
  <si>
    <t>The last time you had sexual intercourse, what did you or your partner do to keep you from getting pregnant?</t>
  </si>
  <si>
    <t>01 Female sterilization (Tubal ligation, Essure, or Adiana) 02 Male sterilization (vasectomy) 03 Contraceptive implant 04 Intrauterine device or IUD (Mirena, Levonorgestrel, ParaGard) 05 Shots (Depo-Provera) 06 Birth control pills, Contraceptive Ring (NuvaRing), Contraceptive patch (Ortho Evra) 07 Condoms (male or female) 08 Diaphragm, cervical cap, sponge, foam, jelly, film, or cream 09 Had sex at a time when less likely to get pregnant (rhythm or natural family planning) 10 Withdrawal or pulling out 11 Emergency contraception or the morning after pill (Plan B or ella) 12 Other method Do not read: 77 Don’t know/Not sure 99 Refused</t>
  </si>
  <si>
    <t>BRTHCNT4</t>
  </si>
  <si>
    <t>The last time you had sexual intercourse, what else, if anything, did you or your partner do to keep you from getting pregnant?</t>
  </si>
  <si>
    <t>00 Nothing else 01 Female sterilization (Tubal ligation, Essure, or Adiana) 02 Male sterilization (vasectomy) 03 Contraceptive implant 04 Intrauterine device or IUD (Mirena, Levonorgestrel, ParaGard) 05 Shots (Depo-Provera) 06 Birth control pills, Contraceptive Ring (NuvaRing), Contraceptive patch (Ortho Evra) 07 Condoms (male or female) 08 Diaphragm, cervical cap, sponge, foam, jelly, film, or cream 09 Had sex at a time when less likely to get pregnant (rhythm or natural family planning) 10 Withdrawal or pulling out 11 Emergency contraception or the morning after pill (Plan B or ella) 12 Other method Do not read: 77 Don’t know/Not sure 99 Refused</t>
  </si>
  <si>
    <t>WHEREGET</t>
  </si>
  <si>
    <t>Where did you get the [response from Q3] you used when you last had sexual intercourse?</t>
  </si>
  <si>
    <t>01 Private doctor’s office 02 Community health clinic, Community clinic, Public health clinic 03 Family planning or Planned Parenthood Clinic 04 School or school-based clinic 05 Hospital outpatient clinic, emergency room, regular hospital room 06Urgent care center, urgi care or walk-in facility 07 In- store health clinic (like CVS, Target, or Walmart) 08 Health care visit with a pharmacist 09 Website or app 10 Some other place 77 Do not know/ not sure 99 Refused</t>
  </si>
  <si>
    <t>NOBCUSE8</t>
  </si>
  <si>
    <t>What was your main reason for not doing anything to prevent pregnancy the last time you had sexual intercourse?</t>
  </si>
  <si>
    <t>01 You didn’t think you were going to have sex/no regular partner 02 You just didn’t think about it 03 You wanted a pregnancy 04 You didn’t care if you got pregnant 05 You or your partner didn’t want to use birth control (side effects, don’t like birth control) 06 You had trouble getting or paying for birth control 07 You didn’t trust giving out your personal information to medical personnel 08 Didn’t think you or your partner could get pregnant (infertile or too old) 09 You were using withdrawal or “pulling out” 10 You had your tubes tied (sterilization) 11 Your partner had a vasectomy (sterilization) 12 You were breast-feeding or you just had a baby 13 You were assigned male at birth 14 Other reasons 77 Don’t know/Not sure 99 Refused</t>
  </si>
  <si>
    <t>BCPREFER</t>
  </si>
  <si>
    <t>If you could use any birth control method you wanted, what method would you use?</t>
  </si>
  <si>
    <t>01 Female sterilization (Tubal ligation, Essure, or Adiana) 02Male sterilization (vasectomy) 03 Contraceptive implant 04 Intrauterine device or IUD (Mirena, Levonorgestrel, ParaGard) 05 Shots (Depo-Provera) 06 Birth control pills, Contraceptive Ring (NuvaRing), Contraceptive patch (Ortho Evra) 07 Condoms (male or female) 08 Diaphragm, cervical cap, sponge, foam, jelly, film, or cream 09 Having sex at a time when less likely to get pregnant (rhythm or natural family planning) 10 Withdrawal or pulling out 11 Emergency contraception or the morning after pill (Plan B or ella) 12Other method 13 I am using the method that I want to use 14I don’t want to use any method Do not read: 77 Don’t know/Not sure 99 Refused</t>
  </si>
  <si>
    <t>ASBIRDUC</t>
  </si>
  <si>
    <t>Healthcare providers may also advise patients to drink less for various reasons. At your last routine checkup, were you advised to reduce or quit your drinking?</t>
  </si>
  <si>
    <t>CASTHNO2</t>
  </si>
  <si>
    <t>Does the child still have asthma?</t>
  </si>
  <si>
    <t>RRCLASS3</t>
  </si>
  <si>
    <t>How do other people usually classify you in this country? Would you say: White, Black or African American, Hispanic or Latino, Asian, Native Hawaiian or Other Pacific Islander, American Indian or Alaska Native, or some other group?</t>
  </si>
  <si>
    <t>01 White 02 Black or African American 03 Hispanic or Latino 04 Asian 05 Native Hawaiian or Other Pacific Islander 06 American Indian or Alaska Native 07 Mixed Race 08 Some other group 77 Don’t know / Not sure 99 Refused</t>
  </si>
  <si>
    <t>RRCOGNT2</t>
  </si>
  <si>
    <t>How often do you think about your race? Would you say never, once a year, once a month, once a week, once a day, once an hour, or constantly?</t>
  </si>
  <si>
    <t>1 Never 2 Once a year 3 Once a month 4 Once a week 5 Once a day 6 Once an hour 8 Constantly 7 Don’t know / Not sure 9 Refused</t>
  </si>
  <si>
    <t>RRTREAT</t>
  </si>
  <si>
    <t>Within the past 12 months, do you feel that in general you were treated worse than, the same as, or better than people of other races?</t>
  </si>
  <si>
    <t>1 Worse than other races 2 The same as other races 3 Better than other races 4 Worse than some races, better than others 5 Only encountered people of the same race 7 Don’t know / Not sure 9 Refused</t>
  </si>
  <si>
    <t>RRATWRK2</t>
  </si>
  <si>
    <t>Within the past 12 months at work, do you feel you were treated worse than, the same as, or better than people of other races?</t>
  </si>
  <si>
    <t>QSTVER</t>
  </si>
  <si>
    <t>QSTLANG</t>
  </si>
  <si>
    <t>_METSTAT</t>
  </si>
  <si>
    <t>_URBSTAT</t>
  </si>
  <si>
    <t>MSCODE</t>
  </si>
  <si>
    <t>_STSTR</t>
  </si>
  <si>
    <t>_STRWT</t>
  </si>
  <si>
    <t>_RAWRAKE</t>
  </si>
  <si>
    <t>_WT2RAKE</t>
  </si>
  <si>
    <t>_IMPRACE</t>
  </si>
  <si>
    <t>_CHISPNC</t>
  </si>
  <si>
    <t>_CRACE2</t>
  </si>
  <si>
    <t>_CPRACE2</t>
  </si>
  <si>
    <t>CAGEG</t>
  </si>
  <si>
    <t>_CLLCPWT</t>
  </si>
  <si>
    <t>_DUALUSE</t>
  </si>
  <si>
    <t>_DUALCOR</t>
  </si>
  <si>
    <t>_LLCPWT2</t>
  </si>
  <si>
    <t>_LLCPWT</t>
  </si>
  <si>
    <t>_RFHLTH</t>
  </si>
  <si>
    <t>_PHYS14D</t>
  </si>
  <si>
    <t>_MENT14D</t>
  </si>
  <si>
    <t>_HLTHPLN</t>
  </si>
  <si>
    <t>_HCVU652</t>
  </si>
  <si>
    <t>_TOTINDA</t>
  </si>
  <si>
    <t>_EXTETH3</t>
  </si>
  <si>
    <t>_ALTETH3</t>
  </si>
  <si>
    <t>_DENVST3</t>
  </si>
  <si>
    <t>_MICHD</t>
  </si>
  <si>
    <t>_LTASTH1</t>
  </si>
  <si>
    <t>_CASTHM1</t>
  </si>
  <si>
    <t>_ASTHMS1</t>
  </si>
  <si>
    <t>_DRDXAR2</t>
  </si>
  <si>
    <t>_PRACE2</t>
  </si>
  <si>
    <t>_MRACE2</t>
  </si>
  <si>
    <t>_HISPANC</t>
  </si>
  <si>
    <t>_RACE1</t>
  </si>
  <si>
    <t>_RACEG22</t>
  </si>
  <si>
    <t>_RACEGR4</t>
  </si>
  <si>
    <t>_RACEPR1</t>
  </si>
  <si>
    <t>RRHCARE4</t>
  </si>
  <si>
    <t>Within the past 12 months, when seeking health care, do you feel your experiences were worse than, the same as, or better than for people of other races?</t>
  </si>
  <si>
    <t>_AGEG5YR</t>
  </si>
  <si>
    <t>_AGE65YR</t>
  </si>
  <si>
    <t>RRPHYSM2</t>
  </si>
  <si>
    <t>Within the past 30 days, have you experienced any physical symptoms, for example, a headache, an upset stomach, tensing of your muscles, or a pounding heart, as a result of how you were treated based on your race?</t>
  </si>
  <si>
    <t>_AGE_G</t>
  </si>
  <si>
    <t>HTIN4</t>
  </si>
  <si>
    <t>HTM4</t>
  </si>
  <si>
    <t>WTKG3</t>
  </si>
  <si>
    <t>_BMI5</t>
  </si>
  <si>
    <t>_BMI5CAT</t>
  </si>
  <si>
    <t>_RFBMI5</t>
  </si>
  <si>
    <t>_CHLDCNT</t>
  </si>
  <si>
    <t>_EDUCAG</t>
  </si>
  <si>
    <t>_INCOMG1</t>
  </si>
  <si>
    <t>_RFMAM22</t>
  </si>
  <si>
    <t>_MAM5023</t>
  </si>
  <si>
    <t>_HADCOLN</t>
  </si>
  <si>
    <t>_CLNSCP1</t>
  </si>
  <si>
    <t>_HADSIGM</t>
  </si>
  <si>
    <t>_SGMSCP1</t>
  </si>
  <si>
    <t>_SGMS101</t>
  </si>
  <si>
    <t>_RFBLDS5</t>
  </si>
  <si>
    <t>_STOLDN1</t>
  </si>
  <si>
    <t>_VIRCOL1</t>
  </si>
  <si>
    <t>_SBONTI1</t>
  </si>
  <si>
    <t>_CRCREC2</t>
  </si>
  <si>
    <t>_SMOKER3</t>
  </si>
  <si>
    <t>_RFSMOK3</t>
  </si>
  <si>
    <t>_CURECI2</t>
  </si>
  <si>
    <t>_YRSSMOK</t>
  </si>
  <si>
    <t>_PACKDAY</t>
  </si>
  <si>
    <t>_PACKYRS</t>
  </si>
  <si>
    <t>_YRSQUIT</t>
  </si>
  <si>
    <t>_SMOKGRP</t>
  </si>
  <si>
    <t>_LCSREC</t>
  </si>
  <si>
    <t>DRNKANY6</t>
  </si>
  <si>
    <t>DROCDY4_</t>
  </si>
  <si>
    <t>_RFBING6</t>
  </si>
  <si>
    <t>_DRNKWK2</t>
  </si>
  <si>
    <t>_RFDRHV8</t>
  </si>
  <si>
    <t>_FLSHOT7</t>
  </si>
  <si>
    <t>_PNEUMO3</t>
  </si>
  <si>
    <t>_AIDTST4</t>
  </si>
  <si>
    <t>Column</t>
  </si>
  <si>
    <t>Null Count</t>
  </si>
  <si>
    <t>Null Percentage</t>
  </si>
  <si>
    <t>Not Null Count</t>
  </si>
  <si>
    <t>Column Name</t>
  </si>
  <si>
    <t>Query</t>
  </si>
  <si>
    <t>Data Dictionary</t>
  </si>
  <si>
    <t>CSRVCTL2_nullcount</t>
  </si>
  <si>
    <t>HPVADSHT_nullcount</t>
  </si>
  <si>
    <t>MENTECIG_nullcount</t>
  </si>
  <si>
    <t>LASTSIG4_nullcount</t>
  </si>
  <si>
    <t>PCPSARS2_nullcount</t>
  </si>
  <si>
    <t>PSATIME1_nullcount</t>
  </si>
  <si>
    <t>PSASUGST_nullcount</t>
  </si>
  <si>
    <t>MENTCIGS_nullcount</t>
  </si>
  <si>
    <t>USEMRJN4_nullcount</t>
  </si>
  <si>
    <t>CASTHNO2_nullcount</t>
  </si>
  <si>
    <t>PCSTALK1_nullcount</t>
  </si>
  <si>
    <t>NUMPHON4_nullcount</t>
  </si>
  <si>
    <t>PSATEST1_nullcount</t>
  </si>
  <si>
    <t>COPDSMOK_nullcount</t>
  </si>
  <si>
    <t>COPDBTST_nullcount</t>
  </si>
  <si>
    <t>COPDBRTH_nullcount</t>
  </si>
  <si>
    <t>CSRVINST_nullcount</t>
  </si>
  <si>
    <t>COPDFLEM_nullcount</t>
  </si>
  <si>
    <t>COPDCOGH_nullcount</t>
  </si>
  <si>
    <t>HPVADVC4_nullcount</t>
  </si>
  <si>
    <t>COVIDINT_nullcount</t>
  </si>
  <si>
    <t>VCLNTES2_nullcount</t>
  </si>
  <si>
    <t>IMFVPLA3_nullcount</t>
  </si>
  <si>
    <t>CSRVCLIN_nullcount</t>
  </si>
  <si>
    <t>CSRVDEIN_nullcount</t>
  </si>
  <si>
    <t>CSRVINSR_nullcount</t>
  </si>
  <si>
    <t>CSRVRTRN_nullcount</t>
  </si>
  <si>
    <t>CSRVSUM_nullcount</t>
  </si>
  <si>
    <t>CSRVDOC1_nullcount</t>
  </si>
  <si>
    <t>SDNATES1_nullcount</t>
  </si>
  <si>
    <t>BLDSTFIT_nullcount</t>
  </si>
  <si>
    <t>MARJOTHR_nullcount</t>
  </si>
  <si>
    <t>MARJDAB_nullcount</t>
  </si>
  <si>
    <t>MARJVAPE_nullcount</t>
  </si>
  <si>
    <t>MARJEAT_nullcount</t>
  </si>
  <si>
    <t>MARJSMOK_nullcount</t>
  </si>
  <si>
    <t>CHKHEMO3_nullcount</t>
  </si>
  <si>
    <t>DIABEDU1_nullcount</t>
  </si>
  <si>
    <t>DIABEYE1_nullcount</t>
  </si>
  <si>
    <t>DIABTYPE_nullcount</t>
  </si>
  <si>
    <t>EYEEXAM1_nullcount</t>
  </si>
  <si>
    <t>FEETSORE_nullcount</t>
  </si>
  <si>
    <t>INSULIN1_nullcount</t>
  </si>
  <si>
    <t>SHINGLE2_nullcount</t>
  </si>
  <si>
    <t>HEATTBCO_nullcount</t>
  </si>
  <si>
    <t>CSRVPAIN_nullcount</t>
  </si>
  <si>
    <t>CSRVTRT3_nullcount</t>
  </si>
  <si>
    <t>STOPSMK2_nullcount</t>
  </si>
  <si>
    <t>CNCRTYP2_nullcount</t>
  </si>
  <si>
    <t>CNCRAGE_nullcount</t>
  </si>
  <si>
    <t>CNCRDIFF_nullcount</t>
  </si>
  <si>
    <t>COVIDPRM_nullcount</t>
  </si>
  <si>
    <t>COVACGET_nullcount</t>
  </si>
  <si>
    <t>SIGMTES1_nullcount</t>
  </si>
  <si>
    <t>LCSCTWHN_nullcount</t>
  </si>
  <si>
    <t>ASBIRDUC_nullcount</t>
  </si>
  <si>
    <t>LASTSMK2_nullcount</t>
  </si>
  <si>
    <t>ACEADNED_nullcount</t>
  </si>
  <si>
    <t>ACEADSAF_nullcount</t>
  </si>
  <si>
    <t>ACEHVSEX_nullcount</t>
  </si>
  <si>
    <t>ACETTHEM_nullcount</t>
  </si>
  <si>
    <t>ACETOUCH_nullcount</t>
  </si>
  <si>
    <t>ACESWEAR_nullcount</t>
  </si>
  <si>
    <t>ACEHURT1_nullcount</t>
  </si>
  <si>
    <t>ACEPUNCH_nullcount</t>
  </si>
  <si>
    <t>ACEDIVRC_nullcount</t>
  </si>
  <si>
    <t>ACEPRISN_nullcount</t>
  </si>
  <si>
    <t>ACEDRUGS_nullcount</t>
  </si>
  <si>
    <t>ACEDRINK_nullcount</t>
  </si>
  <si>
    <t>ACEDEPRS_nullcount</t>
  </si>
  <si>
    <t>STOLTEST_nullcount</t>
  </si>
  <si>
    <t>ASBIADVC_nullcount</t>
  </si>
  <si>
    <t>ASBIBING_nullcount</t>
  </si>
  <si>
    <t>ASBIDRNK_nullcount</t>
  </si>
  <si>
    <t>ASBIALCH_nullcount</t>
  </si>
  <si>
    <t>DIABAGE4_nullcount</t>
  </si>
  <si>
    <t>STOOLDN2_nullcount</t>
  </si>
  <si>
    <t>SMALSTOL_nullcount</t>
  </si>
  <si>
    <t>VIRCOLO1_nullcount</t>
  </si>
  <si>
    <t>ASTHNOW_nullcount</t>
  </si>
  <si>
    <t>PREGNANT_nullcount</t>
  </si>
  <si>
    <t>RRATWRK2_nullcount</t>
  </si>
  <si>
    <t>MARIJAN1_nullcount</t>
  </si>
  <si>
    <t>NUMHHOL4_nullcount</t>
  </si>
  <si>
    <t>COVIDSE1_nullcount</t>
  </si>
  <si>
    <t>LCSLAST_nullcount</t>
  </si>
  <si>
    <t>COVIDFS1_nullcount</t>
  </si>
  <si>
    <t>COVIDSMP_nullcount</t>
  </si>
  <si>
    <t>COVIDNU1_nullcount</t>
  </si>
  <si>
    <t>CRVCLHPV_nullcount</t>
  </si>
  <si>
    <t>CRVCLPAP_nullcount</t>
  </si>
  <si>
    <t>CRVCLCNC_nullcount</t>
  </si>
  <si>
    <t>PREDIAB2_nullcount</t>
  </si>
  <si>
    <t>PDIABTS1_nullcount</t>
  </si>
  <si>
    <t>COVIDVA1_nullcount</t>
  </si>
  <si>
    <t>LCSNUMCG_nullcount</t>
  </si>
  <si>
    <t>RRPHYSM2_nullcount</t>
  </si>
  <si>
    <t>RRHCARE4_nullcount</t>
  </si>
  <si>
    <t>RRTREAT_nullcount</t>
  </si>
  <si>
    <t>RRCOGNT2_nullcount</t>
  </si>
  <si>
    <t>LCSFIRST_nullcount</t>
  </si>
  <si>
    <t>RRCLASS3_nullcount</t>
  </si>
  <si>
    <t>SMOKDAY2_nullcount</t>
  </si>
  <si>
    <t>LCSSCNCR_nullcount</t>
  </si>
  <si>
    <t>HOWLONG_nullcount</t>
  </si>
  <si>
    <t>COLNTES1_nullcount</t>
  </si>
  <si>
    <t>FLSHTMY3_nullcount</t>
  </si>
  <si>
    <t>MAXDRNKS_nullcount</t>
  </si>
  <si>
    <t>DRNK3GE5_nullcount</t>
  </si>
  <si>
    <t>AVEDRNK3_nullcount</t>
  </si>
  <si>
    <t>COLNSIGM_nullcount</t>
  </si>
  <si>
    <t>HADHYST2_nullcount</t>
  </si>
  <si>
    <t>CERVSCRN_nullcount</t>
  </si>
  <si>
    <t>HADMAM_nullcount</t>
  </si>
  <si>
    <t>SDHSTRE1_nullcount</t>
  </si>
  <si>
    <t>SDHTRNSP_nullcount</t>
  </si>
  <si>
    <t>SDHUTILS_nullcount</t>
  </si>
  <si>
    <t>SDHBILLS_nullcount</t>
  </si>
  <si>
    <t>SDHFOOD1_nullcount</t>
  </si>
  <si>
    <t>FOODSTMP_nullcount</t>
  </si>
  <si>
    <t>SDHEMPLY_nullcount</t>
  </si>
  <si>
    <t>SDHISOLT_nullcount</t>
  </si>
  <si>
    <t>EMTSUPRT_nullcount</t>
  </si>
  <si>
    <t>LSATISFY_nullcount</t>
  </si>
  <si>
    <t>POORHLTH_nullcount</t>
  </si>
  <si>
    <t>COLNCNCR_nullcount</t>
  </si>
  <si>
    <t>HADSIGM4_nullcount</t>
  </si>
  <si>
    <t>COVIDPOS_nullcount</t>
  </si>
  <si>
    <t>TETANUS1_nullcount</t>
  </si>
  <si>
    <t>PNEUVAC4_nullcount</t>
  </si>
  <si>
    <t>FLUSHOT7_nullcount</t>
  </si>
  <si>
    <t>ALCDAY4_nullcount</t>
  </si>
  <si>
    <t>LCSCTSC1_nullcount</t>
  </si>
  <si>
    <t>ECIGNOW2_nullcount</t>
  </si>
  <si>
    <t>USENOW3_nullcount</t>
  </si>
  <si>
    <t>SMOKE100_nullcount</t>
  </si>
  <si>
    <t>DIFFALON_nullcount</t>
  </si>
  <si>
    <t>DIFFDRES_nullcount</t>
  </si>
  <si>
    <t>DIFFWALK_nullcount</t>
  </si>
  <si>
    <t>DECIDE_nullcount</t>
  </si>
  <si>
    <t>BLIND_nullcount</t>
  </si>
  <si>
    <t>DEAF_nullcount</t>
  </si>
  <si>
    <t>HEIGHT3_nullcount</t>
  </si>
  <si>
    <t>WEIGHT2_nullcount</t>
  </si>
  <si>
    <t>INCOME3_nullcount</t>
  </si>
  <si>
    <t>CHILDREN_nullcount</t>
  </si>
  <si>
    <t>EMPLOY1_nullcount</t>
  </si>
  <si>
    <t>VETERAN3_nullcount</t>
  </si>
  <si>
    <t>CPDEMO1C_nullcount</t>
  </si>
  <si>
    <t>LASTDEN4_nullcount</t>
  </si>
  <si>
    <t>RMVTETH4_nullcount</t>
  </si>
  <si>
    <t>RENTHOM1_nullcount</t>
  </si>
  <si>
    <t>MARITAL_nullcount</t>
  </si>
  <si>
    <t>ADDEPEV3_nullcount</t>
  </si>
  <si>
    <t>EDUCA_nullcount</t>
  </si>
  <si>
    <t>PHYSHLTH_nullcount</t>
  </si>
  <si>
    <t>CVDINFR4_nullcount</t>
  </si>
  <si>
    <t>MEDCOST1_nullcount</t>
  </si>
  <si>
    <t>PRIMINSR_nullcount</t>
  </si>
  <si>
    <t>CHCOCNC1_nullcount</t>
  </si>
  <si>
    <t>CHECKUP1_nullcount</t>
  </si>
  <si>
    <t>DIABETE4_nullcount</t>
  </si>
  <si>
    <t>GENHLTH_nullcount</t>
  </si>
  <si>
    <t>HAVARTH4_nullcount</t>
  </si>
  <si>
    <t>MENTHLTH_nullcount</t>
  </si>
  <si>
    <t>SLEPTIM1_nullcount</t>
  </si>
  <si>
    <t>ASTHMA3_nullcount</t>
  </si>
  <si>
    <t>CHCCOPD3_nullcount</t>
  </si>
  <si>
    <t>CHCKDNY2_nullcount</t>
  </si>
  <si>
    <t>CHCSCNC1_nullcount</t>
  </si>
  <si>
    <t>CVDCRHD4_nullcount</t>
  </si>
  <si>
    <t>CVDSTRK3_nullcount</t>
  </si>
  <si>
    <t>EXERANY2_nullcount</t>
  </si>
  <si>
    <t>PERSDOC3_nullcount</t>
  </si>
  <si>
    <t>_AGE80_nullcount</t>
  </si>
  <si>
    <t>_SEX_nullcount</t>
  </si>
  <si>
    <t>_STATE_nullcount</t>
  </si>
  <si>
    <t>FMONTH_nullcount</t>
  </si>
  <si>
    <t>IDATE_nullcount</t>
  </si>
  <si>
    <t>IDAY_nullcount</t>
  </si>
  <si>
    <t>IMONTH_nullcount</t>
  </si>
  <si>
    <t>IYEAR_nullcount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</si>
</sst>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Arial"/>
    </font>
  </fonts>
  <fills count="13">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D0E0E3"/>
        <bgColor rgb="FFD0E0E3"/>
      </patternFill>
    </fill>
    <fill>
      <patternFill patternType="solid">
        <fgColor rgb="FFEAD1DC"/>
        <bgColor rgb="FFEAD1DC"/>
      </patternFill>
    </fill>
    <fill>
      <patternFill patternType="solid">
        <fgColor rgb="FFFFE599"/>
        <bgColor rgb="FFFFE599"/>
      </patternFill>
    </fill>
    <fill>
      <patternFill patternType="solid">
        <fgColor rgb="FFF9CB9C"/>
        <bgColor rgb="FFF9CB9C"/>
      </patternFill>
    </fill>
    <fill>
      <patternFill patternType="solid">
        <fgColor rgb="FFCCCCCC"/>
        <bgColor rgb="FFCCCCCC"/>
      </patternFill>
    </fill>
    <fill>
      <patternFill patternType="solid">
        <fgColor rgb="FF9FC5E8"/>
        <bgColor rgb="FF9FC5E8"/>
      </patternFill>
    </fill>
    <fill>
      <patternFill patternType="solid">
        <fgColor rgb="FFB4A7D6"/>
        <bgColor rgb="FFB4A7D6"/>
      </patternFill>
    </fill>
    <fill>
      <patternFill patternType="solid">
        <fgColor rgb="FFD9D2E9"/>
        <bgColor rgb="FFD9D2E9"/>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1" numFmtId="0" xfId="0" applyAlignment="1" applyFill="1" applyFont="1">
      <alignment readingOrder="0"/>
    </xf>
    <xf borderId="0" fillId="0" fontId="1" numFmtId="0" xfId="0" applyAlignment="1" applyFont="1">
      <alignment shrinkToFit="0" wrapText="1"/>
    </xf>
    <xf borderId="0" fillId="0" fontId="1" numFmtId="0" xfId="0" applyFont="1"/>
    <xf borderId="0" fillId="3" fontId="1" numFmtId="0" xfId="0" applyAlignment="1" applyFill="1" applyFont="1">
      <alignment readingOrder="0"/>
    </xf>
    <xf borderId="0" fillId="4" fontId="2" numFmtId="0" xfId="0" applyAlignment="1" applyFill="1" applyFont="1">
      <alignment horizontal="left" readingOrder="0" shrinkToFit="0" wrapText="1"/>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11" fontId="1" numFmtId="0" xfId="0" applyAlignment="1" applyFill="1" applyFont="1">
      <alignment readingOrder="0"/>
    </xf>
    <xf borderId="0" fillId="12" fontId="1" numFmtId="0" xfId="0" applyAlignment="1" applyFill="1" applyFont="1">
      <alignment readingOrder="0"/>
    </xf>
    <xf borderId="0" fillId="0" fontId="1"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11.38"/>
    <col customWidth="1" min="3" max="4" width="62.63"/>
  </cols>
  <sheetData>
    <row r="1">
      <c r="A1" s="1" t="s">
        <v>0</v>
      </c>
      <c r="B1" s="1" t="s">
        <v>1</v>
      </c>
      <c r="C1" s="2" t="s">
        <v>2</v>
      </c>
      <c r="D1" s="2" t="s">
        <v>3</v>
      </c>
      <c r="E1" s="1" t="s">
        <v>4</v>
      </c>
      <c r="F1" s="1" t="s">
        <v>5</v>
      </c>
    </row>
    <row r="2" hidden="1">
      <c r="A2" s="3"/>
      <c r="B2" s="3" t="s">
        <v>6</v>
      </c>
      <c r="C2" s="2" t="s">
        <v>7</v>
      </c>
      <c r="D2" s="4"/>
      <c r="F2" s="1" t="s">
        <v>8</v>
      </c>
      <c r="G2" s="5" t="str">
        <f>concat(concat("DROP COLUMN IF EXISTS ", B2), ",")</f>
        <v>DROP COLUMN IF EXISTS int_64_field_0,</v>
      </c>
    </row>
    <row r="3">
      <c r="A3" s="1">
        <v>1.0</v>
      </c>
      <c r="B3" s="3" t="s">
        <v>9</v>
      </c>
      <c r="C3" s="2" t="s">
        <v>10</v>
      </c>
      <c r="D3" s="1" t="s">
        <v>11</v>
      </c>
      <c r="E3" s="1" t="s">
        <v>12</v>
      </c>
      <c r="F3" s="1" t="s">
        <v>13</v>
      </c>
      <c r="G3" s="5" t="str">
        <f t="shared" ref="G3:G5" si="1">concat("    ", concat(B3, ", "))</f>
        <v>    _STATE, </v>
      </c>
      <c r="H3" s="5" t="str">
        <f t="shared" ref="H3:H8" si="2">CONCAT(CONCAT(CONCAT(CONCAT("    SUM(IF(",B3), " IS NULL, 1, 0)) AS "), B3), "_nullcount, ")</f>
        <v>    SUM(IF(_STATE IS NULL, 1, 0)) AS _STATE_nullcount, </v>
      </c>
    </row>
    <row r="4">
      <c r="A4" s="1">
        <v>2.0</v>
      </c>
      <c r="B4" s="1" t="s">
        <v>14</v>
      </c>
      <c r="C4" s="2" t="s">
        <v>15</v>
      </c>
      <c r="D4" s="2"/>
      <c r="E4" s="1" t="s">
        <v>12</v>
      </c>
      <c r="F4" s="1" t="s">
        <v>13</v>
      </c>
      <c r="G4" s="5" t="str">
        <f t="shared" si="1"/>
        <v>    _SEX, </v>
      </c>
      <c r="H4" s="5" t="str">
        <f t="shared" si="2"/>
        <v>    SUM(IF(_SEX IS NULL, 1, 0)) AS _SEX_nullcount, </v>
      </c>
    </row>
    <row r="5">
      <c r="A5" s="1">
        <v>3.0</v>
      </c>
      <c r="B5" s="1" t="s">
        <v>16</v>
      </c>
      <c r="C5" s="2" t="s">
        <v>17</v>
      </c>
      <c r="D5" s="2"/>
      <c r="E5" s="1" t="s">
        <v>12</v>
      </c>
      <c r="F5" s="1" t="s">
        <v>13</v>
      </c>
      <c r="G5" s="5" t="str">
        <f t="shared" si="1"/>
        <v>    _AGE80, </v>
      </c>
      <c r="H5" s="5" t="str">
        <f t="shared" si="2"/>
        <v>    SUM(IF(_AGE80 IS NULL, 1, 0)) AS _AGE80_nullcount, </v>
      </c>
    </row>
    <row r="6">
      <c r="A6" s="1">
        <v>4.0</v>
      </c>
      <c r="B6" s="3" t="s">
        <v>18</v>
      </c>
      <c r="C6" s="4"/>
      <c r="D6" s="2"/>
      <c r="E6" s="1" t="s">
        <v>12</v>
      </c>
      <c r="F6" s="1" t="s">
        <v>13</v>
      </c>
      <c r="H6" s="5" t="str">
        <f t="shared" si="2"/>
        <v>    SUM(IF(FMONTH IS NULL, 1, 0)) AS FMONTH_nullcount, </v>
      </c>
    </row>
    <row r="7">
      <c r="A7" s="1">
        <v>5.0</v>
      </c>
      <c r="B7" s="3" t="s">
        <v>19</v>
      </c>
      <c r="C7" s="4"/>
      <c r="D7" s="2"/>
      <c r="E7" s="1" t="s">
        <v>20</v>
      </c>
      <c r="F7" s="1" t="s">
        <v>13</v>
      </c>
      <c r="H7" s="5" t="str">
        <f t="shared" si="2"/>
        <v>    SUM(IF(IDATE IS NULL, 1, 0)) AS IDATE_nullcount, </v>
      </c>
    </row>
    <row r="8">
      <c r="A8" s="1">
        <v>6.0</v>
      </c>
      <c r="B8" s="3" t="s">
        <v>21</v>
      </c>
      <c r="C8" s="4"/>
      <c r="D8" s="2"/>
      <c r="E8" s="1" t="s">
        <v>20</v>
      </c>
      <c r="F8" s="1" t="s">
        <v>13</v>
      </c>
      <c r="H8" s="5" t="str">
        <f t="shared" si="2"/>
        <v>    SUM(IF(IMONTH IS NULL, 1, 0)) AS IMONTH_nullcount, </v>
      </c>
    </row>
    <row r="9" hidden="1">
      <c r="A9" s="3"/>
      <c r="B9" s="3" t="s">
        <v>22</v>
      </c>
      <c r="C9" s="4"/>
      <c r="D9" s="2"/>
      <c r="E9" s="1" t="s">
        <v>12</v>
      </c>
      <c r="F9" s="1" t="s">
        <v>8</v>
      </c>
      <c r="G9" s="5" t="str">
        <f t="shared" ref="G9:G34" si="3">concat(concat("DROP COLUMN IF EXISTS ", B9), ",")</f>
        <v>DROP COLUMN IF EXISTS DISPCODE,</v>
      </c>
    </row>
    <row r="10" hidden="1">
      <c r="A10" s="3"/>
      <c r="B10" s="3" t="s">
        <v>23</v>
      </c>
      <c r="C10" s="4"/>
      <c r="D10" s="2"/>
      <c r="E10" s="1" t="s">
        <v>20</v>
      </c>
      <c r="F10" s="1" t="s">
        <v>8</v>
      </c>
      <c r="G10" s="5" t="str">
        <f t="shared" si="3"/>
        <v>DROP COLUMN IF EXISTS SEQNO,</v>
      </c>
    </row>
    <row r="11" hidden="1">
      <c r="A11" s="3"/>
      <c r="B11" s="3" t="s">
        <v>24</v>
      </c>
      <c r="C11" s="4"/>
      <c r="D11" s="2"/>
      <c r="E11" s="1" t="s">
        <v>12</v>
      </c>
      <c r="F11" s="1" t="s">
        <v>8</v>
      </c>
      <c r="G11" s="5" t="str">
        <f t="shared" si="3"/>
        <v>DROP COLUMN IF EXISTS _PSU,</v>
      </c>
    </row>
    <row r="12" hidden="1">
      <c r="A12" s="3"/>
      <c r="B12" s="3" t="s">
        <v>25</v>
      </c>
      <c r="C12" s="2" t="s">
        <v>26</v>
      </c>
      <c r="D12" s="2"/>
      <c r="E12" s="1" t="s">
        <v>12</v>
      </c>
      <c r="F12" s="1" t="s">
        <v>8</v>
      </c>
      <c r="G12" s="5" t="str">
        <f t="shared" si="3"/>
        <v>DROP COLUMN IF EXISTS CTELENM1,</v>
      </c>
    </row>
    <row r="13" hidden="1">
      <c r="A13" s="3"/>
      <c r="B13" s="3" t="s">
        <v>27</v>
      </c>
      <c r="C13" s="2" t="s">
        <v>28</v>
      </c>
      <c r="D13" s="2"/>
      <c r="E13" s="1" t="s">
        <v>12</v>
      </c>
      <c r="F13" s="1" t="s">
        <v>8</v>
      </c>
      <c r="G13" s="5" t="str">
        <f t="shared" si="3"/>
        <v>DROP COLUMN IF EXISTS PVTRESD1,</v>
      </c>
    </row>
    <row r="14" hidden="1">
      <c r="A14" s="3"/>
      <c r="B14" s="3" t="s">
        <v>29</v>
      </c>
      <c r="C14" s="2" t="s">
        <v>30</v>
      </c>
      <c r="D14" s="2"/>
      <c r="E14" s="1" t="s">
        <v>12</v>
      </c>
      <c r="F14" s="1" t="s">
        <v>8</v>
      </c>
      <c r="G14" s="5" t="str">
        <f t="shared" si="3"/>
        <v>DROP COLUMN IF EXISTS COLGHOUS,</v>
      </c>
    </row>
    <row r="15" hidden="1">
      <c r="A15" s="3"/>
      <c r="B15" s="3" t="s">
        <v>31</v>
      </c>
      <c r="C15" s="2" t="s">
        <v>32</v>
      </c>
      <c r="D15" s="2"/>
      <c r="E15" s="1" t="s">
        <v>12</v>
      </c>
      <c r="F15" s="1" t="s">
        <v>8</v>
      </c>
      <c r="G15" s="5" t="str">
        <f t="shared" si="3"/>
        <v>DROP COLUMN IF EXISTS STATERE1,</v>
      </c>
    </row>
    <row r="16" hidden="1">
      <c r="A16" s="3"/>
      <c r="B16" s="3" t="s">
        <v>33</v>
      </c>
      <c r="C16" s="2" t="s">
        <v>34</v>
      </c>
      <c r="D16" s="2"/>
      <c r="E16" s="1" t="s">
        <v>12</v>
      </c>
      <c r="F16" s="1" t="s">
        <v>8</v>
      </c>
      <c r="G16" s="5" t="str">
        <f t="shared" si="3"/>
        <v>DROP COLUMN IF EXISTS CELPHON1,</v>
      </c>
    </row>
    <row r="17" hidden="1">
      <c r="A17" s="3"/>
      <c r="B17" s="3" t="s">
        <v>35</v>
      </c>
      <c r="C17" s="2" t="s">
        <v>36</v>
      </c>
      <c r="D17" s="2"/>
      <c r="E17" s="1" t="s">
        <v>12</v>
      </c>
      <c r="F17" s="1" t="s">
        <v>8</v>
      </c>
      <c r="G17" s="5" t="str">
        <f t="shared" si="3"/>
        <v>DROP COLUMN IF EXISTS LADULT1,</v>
      </c>
    </row>
    <row r="18" hidden="1">
      <c r="A18" s="3"/>
      <c r="B18" s="3" t="s">
        <v>37</v>
      </c>
      <c r="C18" s="2" t="s">
        <v>38</v>
      </c>
      <c r="D18" s="2"/>
      <c r="E18" s="1" t="s">
        <v>12</v>
      </c>
      <c r="F18" s="1" t="s">
        <v>8</v>
      </c>
      <c r="G18" s="5" t="str">
        <f t="shared" si="3"/>
        <v>DROP COLUMN IF EXISTS COLGSEX1,</v>
      </c>
    </row>
    <row r="19" hidden="1">
      <c r="A19" s="3"/>
      <c r="B19" s="3" t="s">
        <v>39</v>
      </c>
      <c r="C19" s="2" t="s">
        <v>40</v>
      </c>
      <c r="D19" s="2"/>
      <c r="E19" s="1" t="s">
        <v>12</v>
      </c>
      <c r="F19" s="1" t="s">
        <v>8</v>
      </c>
      <c r="G19" s="5" t="str">
        <f t="shared" si="3"/>
        <v>DROP COLUMN IF EXISTS NUMADULT,</v>
      </c>
    </row>
    <row r="20" hidden="1">
      <c r="A20" s="3"/>
      <c r="B20" s="3" t="s">
        <v>41</v>
      </c>
      <c r="C20" s="2" t="s">
        <v>38</v>
      </c>
      <c r="D20" s="2"/>
      <c r="E20" s="1" t="s">
        <v>12</v>
      </c>
      <c r="F20" s="1" t="s">
        <v>8</v>
      </c>
      <c r="G20" s="5" t="str">
        <f t="shared" si="3"/>
        <v>DROP COLUMN IF EXISTS LANDSEX1,</v>
      </c>
    </row>
    <row r="21" hidden="1">
      <c r="A21" s="3"/>
      <c r="B21" s="3" t="s">
        <v>42</v>
      </c>
      <c r="C21" s="2" t="s">
        <v>43</v>
      </c>
      <c r="D21" s="2"/>
      <c r="E21" s="1" t="s">
        <v>12</v>
      </c>
      <c r="F21" s="1" t="s">
        <v>8</v>
      </c>
      <c r="G21" s="5" t="str">
        <f t="shared" si="3"/>
        <v>DROP COLUMN IF EXISTS NUMMEN,</v>
      </c>
    </row>
    <row r="22" hidden="1">
      <c r="A22" s="3"/>
      <c r="B22" s="3" t="s">
        <v>44</v>
      </c>
      <c r="C22" s="2" t="s">
        <v>45</v>
      </c>
      <c r="D22" s="2"/>
      <c r="E22" s="1" t="s">
        <v>12</v>
      </c>
      <c r="F22" s="1" t="s">
        <v>8</v>
      </c>
      <c r="G22" s="5" t="str">
        <f t="shared" si="3"/>
        <v>DROP COLUMN IF EXISTS NUMWOMEN,</v>
      </c>
    </row>
    <row r="23" hidden="1">
      <c r="A23" s="3"/>
      <c r="B23" s="3" t="s">
        <v>46</v>
      </c>
      <c r="C23" s="2" t="s">
        <v>47</v>
      </c>
      <c r="D23" s="2"/>
      <c r="E23" s="1" t="s">
        <v>12</v>
      </c>
      <c r="F23" s="1" t="s">
        <v>8</v>
      </c>
      <c r="G23" s="5" t="str">
        <f t="shared" si="3"/>
        <v>DROP COLUMN IF EXISTS RESPSLCT,</v>
      </c>
    </row>
    <row r="24" hidden="1">
      <c r="A24" s="3"/>
      <c r="B24" s="3" t="s">
        <v>48</v>
      </c>
      <c r="C24" s="4"/>
      <c r="D24" s="2"/>
      <c r="E24" s="1" t="s">
        <v>12</v>
      </c>
      <c r="F24" s="1" t="s">
        <v>8</v>
      </c>
      <c r="G24" s="5" t="str">
        <f t="shared" si="3"/>
        <v>DROP COLUMN IF EXISTS SAFETIME,</v>
      </c>
    </row>
    <row r="25" hidden="1">
      <c r="A25" s="3"/>
      <c r="B25" s="3" t="s">
        <v>49</v>
      </c>
      <c r="C25" s="4"/>
      <c r="D25" s="2"/>
      <c r="E25" s="1" t="s">
        <v>12</v>
      </c>
      <c r="F25" s="1" t="s">
        <v>8</v>
      </c>
      <c r="G25" s="5" t="str">
        <f t="shared" si="3"/>
        <v>DROP COLUMN IF EXISTS CTELNUM1,</v>
      </c>
    </row>
    <row r="26" hidden="1">
      <c r="A26" s="3"/>
      <c r="B26" s="3" t="s">
        <v>50</v>
      </c>
      <c r="C26" s="4"/>
      <c r="D26" s="2"/>
      <c r="E26" s="1" t="s">
        <v>12</v>
      </c>
      <c r="F26" s="1" t="s">
        <v>8</v>
      </c>
      <c r="G26" s="5" t="str">
        <f t="shared" si="3"/>
        <v>DROP COLUMN IF EXISTS CELLFON5,</v>
      </c>
    </row>
    <row r="27" hidden="1">
      <c r="A27" s="3"/>
      <c r="B27" s="3" t="s">
        <v>51</v>
      </c>
      <c r="C27" s="4"/>
      <c r="D27" s="2"/>
      <c r="E27" s="1" t="s">
        <v>12</v>
      </c>
      <c r="F27" s="1" t="s">
        <v>8</v>
      </c>
      <c r="G27" s="5" t="str">
        <f t="shared" si="3"/>
        <v>DROP COLUMN IF EXISTS CADULT1,</v>
      </c>
    </row>
    <row r="28" hidden="1">
      <c r="A28" s="3"/>
      <c r="B28" s="3" t="s">
        <v>52</v>
      </c>
      <c r="C28" s="4"/>
      <c r="D28" s="2"/>
      <c r="E28" s="1" t="s">
        <v>12</v>
      </c>
      <c r="F28" s="1" t="s">
        <v>8</v>
      </c>
      <c r="G28" s="5" t="str">
        <f t="shared" si="3"/>
        <v>DROP COLUMN IF EXISTS CELLSEX1,</v>
      </c>
    </row>
    <row r="29" hidden="1">
      <c r="A29" s="3"/>
      <c r="B29" s="3" t="s">
        <v>53</v>
      </c>
      <c r="C29" s="4"/>
      <c r="D29" s="2"/>
      <c r="E29" s="1" t="s">
        <v>12</v>
      </c>
      <c r="F29" s="1" t="s">
        <v>8</v>
      </c>
      <c r="G29" s="5" t="str">
        <f t="shared" si="3"/>
        <v>DROP COLUMN IF EXISTS PVTRESD3,</v>
      </c>
    </row>
    <row r="30" hidden="1">
      <c r="A30" s="3"/>
      <c r="B30" s="3" t="s">
        <v>54</v>
      </c>
      <c r="C30" s="4"/>
      <c r="D30" s="2"/>
      <c r="E30" s="1" t="s">
        <v>12</v>
      </c>
      <c r="F30" s="1" t="s">
        <v>8</v>
      </c>
      <c r="G30" s="5" t="str">
        <f t="shared" si="3"/>
        <v>DROP COLUMN IF EXISTS CCLGHOUS,</v>
      </c>
    </row>
    <row r="31" hidden="1">
      <c r="A31" s="3"/>
      <c r="B31" s="3" t="s">
        <v>55</v>
      </c>
      <c r="C31" s="4"/>
      <c r="D31" s="2"/>
      <c r="E31" s="1" t="s">
        <v>12</v>
      </c>
      <c r="F31" s="1" t="s">
        <v>8</v>
      </c>
      <c r="G31" s="5" t="str">
        <f t="shared" si="3"/>
        <v>DROP COLUMN IF EXISTS CSTATE1,</v>
      </c>
    </row>
    <row r="32" hidden="1">
      <c r="A32" s="3"/>
      <c r="B32" s="3" t="s">
        <v>56</v>
      </c>
      <c r="C32" s="4"/>
      <c r="D32" s="2"/>
      <c r="E32" s="1" t="s">
        <v>12</v>
      </c>
      <c r="F32" s="1" t="s">
        <v>8</v>
      </c>
      <c r="G32" s="5" t="str">
        <f t="shared" si="3"/>
        <v>DROP COLUMN IF EXISTS LANDLINE,</v>
      </c>
    </row>
    <row r="33" hidden="1">
      <c r="A33" s="3"/>
      <c r="B33" s="3" t="s">
        <v>57</v>
      </c>
      <c r="C33" s="2" t="s">
        <v>58</v>
      </c>
      <c r="D33" s="2"/>
      <c r="E33" s="1" t="s">
        <v>12</v>
      </c>
      <c r="F33" s="1" t="s">
        <v>8</v>
      </c>
      <c r="G33" s="5" t="str">
        <f t="shared" si="3"/>
        <v>DROP COLUMN IF EXISTS HHADULT,</v>
      </c>
    </row>
    <row r="34" hidden="1">
      <c r="A34" s="3"/>
      <c r="B34" s="3" t="s">
        <v>59</v>
      </c>
      <c r="C34" s="4"/>
      <c r="D34" s="2"/>
      <c r="E34" s="1" t="s">
        <v>12</v>
      </c>
      <c r="F34" s="1" t="s">
        <v>8</v>
      </c>
      <c r="G34" s="5" t="str">
        <f t="shared" si="3"/>
        <v>DROP COLUMN IF EXISTS SEXVAR,</v>
      </c>
    </row>
    <row r="35">
      <c r="A35" s="1">
        <v>7.0</v>
      </c>
      <c r="B35" s="3" t="s">
        <v>60</v>
      </c>
      <c r="C35" s="4"/>
      <c r="D35" s="2"/>
      <c r="E35" s="1" t="s">
        <v>20</v>
      </c>
      <c r="F35" s="1" t="s">
        <v>13</v>
      </c>
      <c r="H35" s="5" t="str">
        <f t="shared" ref="H35:H116" si="4">CONCAT(CONCAT(CONCAT(CONCAT("    SUM(IF(",B35), " IS NULL, 1, 0)) AS "), B35), "_nullcount, ")</f>
        <v>    SUM(IF(IDAY IS NULL, 1, 0)) AS IDAY_nullcount, </v>
      </c>
    </row>
    <row r="36">
      <c r="A36" s="1">
        <v>8.0</v>
      </c>
      <c r="B36" s="3" t="s">
        <v>61</v>
      </c>
      <c r="C36" s="4"/>
      <c r="D36" s="2"/>
      <c r="E36" s="1" t="s">
        <v>20</v>
      </c>
      <c r="F36" s="1" t="s">
        <v>13</v>
      </c>
      <c r="G36" s="5" t="str">
        <f t="shared" ref="G36:G116" si="5">concat("    ", concat(B36, ", "))</f>
        <v>    IYEAR, </v>
      </c>
      <c r="H36" s="5" t="str">
        <f t="shared" si="4"/>
        <v>    SUM(IF(IYEAR IS NULL, 1, 0)) AS IYEAR_nullcount, </v>
      </c>
    </row>
    <row r="37">
      <c r="A37" s="1">
        <v>9.0</v>
      </c>
      <c r="B37" s="6" t="s">
        <v>62</v>
      </c>
      <c r="C37" s="2" t="s">
        <v>63</v>
      </c>
      <c r="D37" s="7" t="s">
        <v>64</v>
      </c>
      <c r="E37" s="1" t="s">
        <v>12</v>
      </c>
      <c r="F37" s="1" t="s">
        <v>13</v>
      </c>
      <c r="G37" s="5" t="str">
        <f t="shared" si="5"/>
        <v>    GENHLTH, </v>
      </c>
      <c r="H37" s="5" t="str">
        <f t="shared" si="4"/>
        <v>    SUM(IF(GENHLTH IS NULL, 1, 0)) AS GENHLTH_nullcount, </v>
      </c>
    </row>
    <row r="38">
      <c r="A38" s="1">
        <v>10.0</v>
      </c>
      <c r="B38" s="6" t="s">
        <v>65</v>
      </c>
      <c r="C38" s="2" t="s">
        <v>66</v>
      </c>
      <c r="D38" s="7" t="s">
        <v>67</v>
      </c>
      <c r="E38" s="1" t="s">
        <v>12</v>
      </c>
      <c r="F38" s="1" t="s">
        <v>13</v>
      </c>
      <c r="G38" s="5" t="str">
        <f t="shared" si="5"/>
        <v>    PHYSHLTH, </v>
      </c>
      <c r="H38" s="5" t="str">
        <f t="shared" si="4"/>
        <v>    SUM(IF(PHYSHLTH IS NULL, 1, 0)) AS PHYSHLTH_nullcount, </v>
      </c>
    </row>
    <row r="39">
      <c r="A39" s="1">
        <v>11.0</v>
      </c>
      <c r="B39" s="6" t="s">
        <v>68</v>
      </c>
      <c r="C39" s="2" t="s">
        <v>69</v>
      </c>
      <c r="D39" s="7" t="s">
        <v>67</v>
      </c>
      <c r="E39" s="1" t="s">
        <v>12</v>
      </c>
      <c r="F39" s="1" t="s">
        <v>13</v>
      </c>
      <c r="G39" s="5" t="str">
        <f t="shared" si="5"/>
        <v>    MENTHLTH, </v>
      </c>
      <c r="H39" s="5" t="str">
        <f t="shared" si="4"/>
        <v>    SUM(IF(MENTHLTH IS NULL, 1, 0)) AS MENTHLTH_nullcount, </v>
      </c>
    </row>
    <row r="40">
      <c r="A40" s="1">
        <v>12.0</v>
      </c>
      <c r="B40" s="6" t="s">
        <v>70</v>
      </c>
      <c r="C40" s="2" t="s">
        <v>71</v>
      </c>
      <c r="D40" s="7" t="s">
        <v>67</v>
      </c>
      <c r="E40" s="1" t="s">
        <v>12</v>
      </c>
      <c r="F40" s="1" t="s">
        <v>13</v>
      </c>
      <c r="G40" s="5" t="str">
        <f t="shared" si="5"/>
        <v>    POORHLTH, </v>
      </c>
      <c r="H40" s="5" t="str">
        <f t="shared" si="4"/>
        <v>    SUM(IF(POORHLTH IS NULL, 1, 0)) AS POORHLTH_nullcount, </v>
      </c>
    </row>
    <row r="41">
      <c r="A41" s="1">
        <v>13.0</v>
      </c>
      <c r="B41" s="6" t="s">
        <v>72</v>
      </c>
      <c r="C41" s="2" t="s">
        <v>73</v>
      </c>
      <c r="D41" s="2" t="s">
        <v>74</v>
      </c>
      <c r="E41" s="1" t="s">
        <v>12</v>
      </c>
      <c r="F41" s="1" t="s">
        <v>13</v>
      </c>
      <c r="G41" s="5" t="str">
        <f t="shared" si="5"/>
        <v>    PRIMINSR, </v>
      </c>
      <c r="H41" s="5" t="str">
        <f t="shared" si="4"/>
        <v>    SUM(IF(PRIMINSR IS NULL, 1, 0)) AS PRIMINSR_nullcount, </v>
      </c>
    </row>
    <row r="42">
      <c r="A42" s="1">
        <v>14.0</v>
      </c>
      <c r="B42" s="6" t="s">
        <v>75</v>
      </c>
      <c r="C42" s="2" t="s">
        <v>76</v>
      </c>
      <c r="D42" s="2" t="s">
        <v>77</v>
      </c>
      <c r="E42" s="1" t="s">
        <v>12</v>
      </c>
      <c r="F42" s="1" t="s">
        <v>13</v>
      </c>
      <c r="G42" s="5" t="str">
        <f t="shared" si="5"/>
        <v>    PERSDOC3, </v>
      </c>
      <c r="H42" s="5" t="str">
        <f t="shared" si="4"/>
        <v>    SUM(IF(PERSDOC3 IS NULL, 1, 0)) AS PERSDOC3_nullcount, </v>
      </c>
    </row>
    <row r="43">
      <c r="A43" s="1">
        <v>15.0</v>
      </c>
      <c r="B43" s="6" t="s">
        <v>78</v>
      </c>
      <c r="C43" s="2" t="s">
        <v>79</v>
      </c>
      <c r="D43" s="2" t="s">
        <v>80</v>
      </c>
      <c r="E43" s="1" t="s">
        <v>12</v>
      </c>
      <c r="F43" s="1" t="s">
        <v>13</v>
      </c>
      <c r="G43" s="5" t="str">
        <f t="shared" si="5"/>
        <v>    MEDCOST1, </v>
      </c>
      <c r="H43" s="5" t="str">
        <f t="shared" si="4"/>
        <v>    SUM(IF(MEDCOST1 IS NULL, 1, 0)) AS MEDCOST1_nullcount, </v>
      </c>
    </row>
    <row r="44">
      <c r="A44" s="1">
        <v>16.0</v>
      </c>
      <c r="B44" s="6" t="s">
        <v>81</v>
      </c>
      <c r="C44" s="2" t="s">
        <v>82</v>
      </c>
      <c r="D44" s="2" t="s">
        <v>83</v>
      </c>
      <c r="E44" s="1" t="s">
        <v>12</v>
      </c>
      <c r="F44" s="1" t="s">
        <v>13</v>
      </c>
      <c r="G44" s="5" t="str">
        <f t="shared" si="5"/>
        <v>    CHECKUP1, </v>
      </c>
      <c r="H44" s="5" t="str">
        <f t="shared" si="4"/>
        <v>    SUM(IF(CHECKUP1 IS NULL, 1, 0)) AS CHECKUP1_nullcount, </v>
      </c>
    </row>
    <row r="45">
      <c r="A45" s="1">
        <v>17.0</v>
      </c>
      <c r="B45" s="6" t="s">
        <v>84</v>
      </c>
      <c r="C45" s="2" t="s">
        <v>85</v>
      </c>
      <c r="D45" s="2" t="s">
        <v>80</v>
      </c>
      <c r="E45" s="1" t="s">
        <v>12</v>
      </c>
      <c r="F45" s="1" t="s">
        <v>13</v>
      </c>
      <c r="G45" s="5" t="str">
        <f t="shared" si="5"/>
        <v>    EXERANY2, </v>
      </c>
      <c r="H45" s="5" t="str">
        <f t="shared" si="4"/>
        <v>    SUM(IF(EXERANY2 IS NULL, 1, 0)) AS EXERANY2_nullcount, </v>
      </c>
    </row>
    <row r="46">
      <c r="A46" s="1">
        <v>18.0</v>
      </c>
      <c r="B46" s="6" t="s">
        <v>86</v>
      </c>
      <c r="C46" s="2" t="s">
        <v>87</v>
      </c>
      <c r="D46" s="2" t="s">
        <v>88</v>
      </c>
      <c r="E46" s="1" t="s">
        <v>12</v>
      </c>
      <c r="F46" s="1" t="s">
        <v>13</v>
      </c>
      <c r="G46" s="5" t="str">
        <f t="shared" si="5"/>
        <v>    SLEPTIM1, </v>
      </c>
      <c r="H46" s="5" t="str">
        <f t="shared" si="4"/>
        <v>    SUM(IF(SLEPTIM1 IS NULL, 1, 0)) AS SLEPTIM1_nullcount, </v>
      </c>
    </row>
    <row r="47">
      <c r="A47" s="1">
        <v>19.0</v>
      </c>
      <c r="B47" s="6" t="s">
        <v>89</v>
      </c>
      <c r="C47" s="2" t="s">
        <v>90</v>
      </c>
      <c r="D47" s="2" t="s">
        <v>91</v>
      </c>
      <c r="E47" s="1" t="s">
        <v>12</v>
      </c>
      <c r="F47" s="1" t="s">
        <v>13</v>
      </c>
      <c r="G47" s="5" t="str">
        <f t="shared" si="5"/>
        <v>    LASTDEN4, </v>
      </c>
      <c r="H47" s="5" t="str">
        <f t="shared" si="4"/>
        <v>    SUM(IF(LASTDEN4 IS NULL, 1, 0)) AS LASTDEN4_nullcount, </v>
      </c>
    </row>
    <row r="48">
      <c r="A48" s="1">
        <v>20.0</v>
      </c>
      <c r="B48" s="6" t="s">
        <v>92</v>
      </c>
      <c r="C48" s="2" t="s">
        <v>93</v>
      </c>
      <c r="D48" s="2" t="s">
        <v>94</v>
      </c>
      <c r="E48" s="1" t="s">
        <v>12</v>
      </c>
      <c r="F48" s="1" t="s">
        <v>13</v>
      </c>
      <c r="G48" s="5" t="str">
        <f t="shared" si="5"/>
        <v>    RMVTETH4, </v>
      </c>
      <c r="H48" s="5" t="str">
        <f t="shared" si="4"/>
        <v>    SUM(IF(RMVTETH4 IS NULL, 1, 0)) AS RMVTETH4_nullcount, </v>
      </c>
    </row>
    <row r="49">
      <c r="A49" s="1">
        <v>21.0</v>
      </c>
      <c r="B49" s="6" t="s">
        <v>95</v>
      </c>
      <c r="C49" s="2" t="s">
        <v>96</v>
      </c>
      <c r="D49" s="2" t="s">
        <v>80</v>
      </c>
      <c r="E49" s="1" t="s">
        <v>12</v>
      </c>
      <c r="F49" s="1" t="s">
        <v>13</v>
      </c>
      <c r="G49" s="5" t="str">
        <f t="shared" si="5"/>
        <v>    CVDINFR4, </v>
      </c>
      <c r="H49" s="5" t="str">
        <f t="shared" si="4"/>
        <v>    SUM(IF(CVDINFR4 IS NULL, 1, 0)) AS CVDINFR4_nullcount, </v>
      </c>
    </row>
    <row r="50">
      <c r="A50" s="1">
        <v>22.0</v>
      </c>
      <c r="B50" s="6" t="s">
        <v>97</v>
      </c>
      <c r="C50" s="2" t="s">
        <v>98</v>
      </c>
      <c r="D50" s="2" t="s">
        <v>80</v>
      </c>
      <c r="E50" s="1" t="s">
        <v>12</v>
      </c>
      <c r="F50" s="1" t="s">
        <v>13</v>
      </c>
      <c r="G50" s="5" t="str">
        <f t="shared" si="5"/>
        <v>    CVDCRHD4, </v>
      </c>
      <c r="H50" s="5" t="str">
        <f t="shared" si="4"/>
        <v>    SUM(IF(CVDCRHD4 IS NULL, 1, 0)) AS CVDCRHD4_nullcount, </v>
      </c>
    </row>
    <row r="51">
      <c r="A51" s="1">
        <v>23.0</v>
      </c>
      <c r="B51" s="6" t="s">
        <v>99</v>
      </c>
      <c r="C51" s="2" t="s">
        <v>100</v>
      </c>
      <c r="D51" s="2" t="s">
        <v>80</v>
      </c>
      <c r="E51" s="1" t="s">
        <v>12</v>
      </c>
      <c r="F51" s="1" t="s">
        <v>13</v>
      </c>
      <c r="G51" s="5" t="str">
        <f t="shared" si="5"/>
        <v>    CVDSTRK3, </v>
      </c>
      <c r="H51" s="5" t="str">
        <f t="shared" si="4"/>
        <v>    SUM(IF(CVDSTRK3 IS NULL, 1, 0)) AS CVDSTRK3_nullcount, </v>
      </c>
    </row>
    <row r="52">
      <c r="A52" s="1">
        <v>24.0</v>
      </c>
      <c r="B52" s="6" t="s">
        <v>101</v>
      </c>
      <c r="C52" s="2" t="s">
        <v>102</v>
      </c>
      <c r="D52" s="2" t="s">
        <v>80</v>
      </c>
      <c r="E52" s="1" t="s">
        <v>12</v>
      </c>
      <c r="F52" s="1" t="s">
        <v>13</v>
      </c>
      <c r="G52" s="5" t="str">
        <f t="shared" si="5"/>
        <v>    ASTHMA3, </v>
      </c>
      <c r="H52" s="5" t="str">
        <f t="shared" si="4"/>
        <v>    SUM(IF(ASTHMA3 IS NULL, 1, 0)) AS ASTHMA3_nullcount, </v>
      </c>
    </row>
    <row r="53">
      <c r="A53" s="1">
        <v>25.0</v>
      </c>
      <c r="B53" s="6" t="s">
        <v>103</v>
      </c>
      <c r="C53" s="2" t="s">
        <v>104</v>
      </c>
      <c r="D53" s="2" t="s">
        <v>80</v>
      </c>
      <c r="E53" s="1" t="s">
        <v>12</v>
      </c>
      <c r="F53" s="1" t="s">
        <v>13</v>
      </c>
      <c r="G53" s="5" t="str">
        <f t="shared" si="5"/>
        <v>    ASTHNOW, </v>
      </c>
      <c r="H53" s="5" t="str">
        <f t="shared" si="4"/>
        <v>    SUM(IF(ASTHNOW IS NULL, 1, 0)) AS ASTHNOW_nullcount, </v>
      </c>
    </row>
    <row r="54">
      <c r="A54" s="1">
        <v>26.0</v>
      </c>
      <c r="B54" s="6" t="s">
        <v>105</v>
      </c>
      <c r="C54" s="2" t="s">
        <v>106</v>
      </c>
      <c r="D54" s="2" t="s">
        <v>80</v>
      </c>
      <c r="E54" s="1" t="s">
        <v>12</v>
      </c>
      <c r="F54" s="1" t="s">
        <v>13</v>
      </c>
      <c r="G54" s="5" t="str">
        <f t="shared" si="5"/>
        <v>    CHCSCNC1, </v>
      </c>
      <c r="H54" s="5" t="str">
        <f t="shared" si="4"/>
        <v>    SUM(IF(CHCSCNC1 IS NULL, 1, 0)) AS CHCSCNC1_nullcount, </v>
      </c>
    </row>
    <row r="55">
      <c r="A55" s="1">
        <v>27.0</v>
      </c>
      <c r="B55" s="6" t="s">
        <v>107</v>
      </c>
      <c r="C55" s="2" t="s">
        <v>108</v>
      </c>
      <c r="D55" s="2" t="s">
        <v>80</v>
      </c>
      <c r="E55" s="1" t="s">
        <v>12</v>
      </c>
      <c r="F55" s="1" t="s">
        <v>13</v>
      </c>
      <c r="G55" s="5" t="str">
        <f t="shared" si="5"/>
        <v>    CHCOCNC1, </v>
      </c>
      <c r="H55" s="5" t="str">
        <f t="shared" si="4"/>
        <v>    SUM(IF(CHCOCNC1 IS NULL, 1, 0)) AS CHCOCNC1_nullcount, </v>
      </c>
    </row>
    <row r="56">
      <c r="A56" s="1">
        <v>28.0</v>
      </c>
      <c r="B56" s="6" t="s">
        <v>109</v>
      </c>
      <c r="C56" s="2" t="s">
        <v>110</v>
      </c>
      <c r="D56" s="2" t="s">
        <v>80</v>
      </c>
      <c r="E56" s="1" t="s">
        <v>12</v>
      </c>
      <c r="F56" s="1" t="s">
        <v>13</v>
      </c>
      <c r="G56" s="5" t="str">
        <f t="shared" si="5"/>
        <v>    CHCCOPD3, </v>
      </c>
      <c r="H56" s="5" t="str">
        <f t="shared" si="4"/>
        <v>    SUM(IF(CHCCOPD3 IS NULL, 1, 0)) AS CHCCOPD3_nullcount, </v>
      </c>
    </row>
    <row r="57">
      <c r="A57" s="1">
        <v>29.0</v>
      </c>
      <c r="B57" s="6" t="s">
        <v>111</v>
      </c>
      <c r="C57" s="2" t="s">
        <v>112</v>
      </c>
      <c r="D57" s="2" t="s">
        <v>80</v>
      </c>
      <c r="E57" s="1" t="s">
        <v>12</v>
      </c>
      <c r="F57" s="1" t="s">
        <v>13</v>
      </c>
      <c r="G57" s="5" t="str">
        <f t="shared" si="5"/>
        <v>    ADDEPEV3, </v>
      </c>
      <c r="H57" s="5" t="str">
        <f t="shared" si="4"/>
        <v>    SUM(IF(ADDEPEV3 IS NULL, 1, 0)) AS ADDEPEV3_nullcount, </v>
      </c>
    </row>
    <row r="58">
      <c r="A58" s="1">
        <v>30.0</v>
      </c>
      <c r="B58" s="6" t="s">
        <v>113</v>
      </c>
      <c r="C58" s="2" t="s">
        <v>114</v>
      </c>
      <c r="D58" s="2" t="s">
        <v>80</v>
      </c>
      <c r="E58" s="1" t="s">
        <v>12</v>
      </c>
      <c r="F58" s="1" t="s">
        <v>13</v>
      </c>
      <c r="G58" s="5" t="str">
        <f t="shared" si="5"/>
        <v>    CHCKDNY2, </v>
      </c>
      <c r="H58" s="5" t="str">
        <f t="shared" si="4"/>
        <v>    SUM(IF(CHCKDNY2 IS NULL, 1, 0)) AS CHCKDNY2_nullcount, </v>
      </c>
    </row>
    <row r="59">
      <c r="A59" s="1">
        <v>31.0</v>
      </c>
      <c r="B59" s="6" t="s">
        <v>115</v>
      </c>
      <c r="C59" s="2" t="s">
        <v>116</v>
      </c>
      <c r="D59" s="2" t="s">
        <v>80</v>
      </c>
      <c r="E59" s="1" t="s">
        <v>12</v>
      </c>
      <c r="F59" s="1" t="s">
        <v>13</v>
      </c>
      <c r="G59" s="5" t="str">
        <f t="shared" si="5"/>
        <v>    HAVARTH4, </v>
      </c>
      <c r="H59" s="5" t="str">
        <f t="shared" si="4"/>
        <v>    SUM(IF(HAVARTH4 IS NULL, 1, 0)) AS HAVARTH4_nullcount, </v>
      </c>
    </row>
    <row r="60">
      <c r="A60" s="1">
        <v>32.0</v>
      </c>
      <c r="B60" s="6" t="s">
        <v>117</v>
      </c>
      <c r="C60" s="2" t="s">
        <v>118</v>
      </c>
      <c r="D60" s="2" t="s">
        <v>119</v>
      </c>
      <c r="E60" s="1" t="s">
        <v>12</v>
      </c>
      <c r="F60" s="1" t="s">
        <v>13</v>
      </c>
      <c r="G60" s="5" t="str">
        <f t="shared" si="5"/>
        <v>    DIABETE4, </v>
      </c>
      <c r="H60" s="5" t="str">
        <f t="shared" si="4"/>
        <v>    SUM(IF(DIABETE4 IS NULL, 1, 0)) AS DIABETE4_nullcount, </v>
      </c>
    </row>
    <row r="61">
      <c r="A61" s="1">
        <v>33.0</v>
      </c>
      <c r="B61" s="6" t="s">
        <v>120</v>
      </c>
      <c r="C61" s="2" t="s">
        <v>121</v>
      </c>
      <c r="D61" s="2" t="s">
        <v>122</v>
      </c>
      <c r="E61" s="1" t="s">
        <v>12</v>
      </c>
      <c r="F61" s="1" t="s">
        <v>13</v>
      </c>
      <c r="G61" s="5" t="str">
        <f t="shared" si="5"/>
        <v>    DIABAGE4, </v>
      </c>
      <c r="H61" s="5" t="str">
        <f t="shared" si="4"/>
        <v>    SUM(IF(DIABAGE4 IS NULL, 1, 0)) AS DIABAGE4_nullcount, </v>
      </c>
    </row>
    <row r="62">
      <c r="A62" s="1">
        <v>34.0</v>
      </c>
      <c r="B62" s="8" t="s">
        <v>123</v>
      </c>
      <c r="C62" s="2" t="s">
        <v>124</v>
      </c>
      <c r="D62" s="2" t="s">
        <v>125</v>
      </c>
      <c r="E62" s="1" t="s">
        <v>12</v>
      </c>
      <c r="F62" s="1" t="s">
        <v>13</v>
      </c>
      <c r="G62" s="5" t="str">
        <f t="shared" si="5"/>
        <v>    MARITAL, </v>
      </c>
      <c r="H62" s="5" t="str">
        <f t="shared" si="4"/>
        <v>    SUM(IF(MARITAL IS NULL, 1, 0)) AS MARITAL_nullcount, </v>
      </c>
    </row>
    <row r="63">
      <c r="A63" s="1">
        <v>35.0</v>
      </c>
      <c r="B63" s="8" t="s">
        <v>126</v>
      </c>
      <c r="C63" s="2" t="s">
        <v>127</v>
      </c>
      <c r="D63" s="2" t="s">
        <v>128</v>
      </c>
      <c r="E63" s="1" t="s">
        <v>12</v>
      </c>
      <c r="F63" s="1" t="s">
        <v>13</v>
      </c>
      <c r="G63" s="5" t="str">
        <f t="shared" si="5"/>
        <v>    EDUCA, </v>
      </c>
      <c r="H63" s="5" t="str">
        <f t="shared" si="4"/>
        <v>    SUM(IF(EDUCA IS NULL, 1, 0)) AS EDUCA_nullcount, </v>
      </c>
    </row>
    <row r="64">
      <c r="A64" s="1">
        <v>36.0</v>
      </c>
      <c r="B64" s="8" t="s">
        <v>129</v>
      </c>
      <c r="C64" s="2" t="s">
        <v>130</v>
      </c>
      <c r="D64" s="2" t="s">
        <v>131</v>
      </c>
      <c r="E64" s="1" t="s">
        <v>12</v>
      </c>
      <c r="F64" s="1" t="s">
        <v>13</v>
      </c>
      <c r="G64" s="5" t="str">
        <f t="shared" si="5"/>
        <v>    RENTHOM1, </v>
      </c>
      <c r="H64" s="5" t="str">
        <f t="shared" si="4"/>
        <v>    SUM(IF(RENTHOM1 IS NULL, 1, 0)) AS RENTHOM1_nullcount, </v>
      </c>
    </row>
    <row r="65">
      <c r="A65" s="1">
        <v>37.0</v>
      </c>
      <c r="B65" s="8" t="s">
        <v>132</v>
      </c>
      <c r="C65" s="2" t="s">
        <v>133</v>
      </c>
      <c r="D65" s="2" t="s">
        <v>80</v>
      </c>
      <c r="E65" s="1" t="s">
        <v>12</v>
      </c>
      <c r="F65" s="1" t="s">
        <v>13</v>
      </c>
      <c r="G65" s="5" t="str">
        <f t="shared" si="5"/>
        <v>    NUMHHOL4, </v>
      </c>
      <c r="H65" s="5" t="str">
        <f t="shared" si="4"/>
        <v>    SUM(IF(NUMHHOL4 IS NULL, 1, 0)) AS NUMHHOL4_nullcount, </v>
      </c>
    </row>
    <row r="66">
      <c r="A66" s="1">
        <v>38.0</v>
      </c>
      <c r="B66" s="8" t="s">
        <v>134</v>
      </c>
      <c r="C66" s="2" t="s">
        <v>135</v>
      </c>
      <c r="D66" s="2" t="s">
        <v>136</v>
      </c>
      <c r="E66" s="1" t="s">
        <v>12</v>
      </c>
      <c r="F66" s="1" t="s">
        <v>13</v>
      </c>
      <c r="G66" s="5" t="str">
        <f t="shared" si="5"/>
        <v>    NUMPHON4, </v>
      </c>
      <c r="H66" s="5" t="str">
        <f t="shared" si="4"/>
        <v>    SUM(IF(NUMPHON4 IS NULL, 1, 0)) AS NUMPHON4_nullcount, </v>
      </c>
    </row>
    <row r="67">
      <c r="A67" s="1">
        <v>39.0</v>
      </c>
      <c r="B67" s="8" t="s">
        <v>137</v>
      </c>
      <c r="C67" s="2" t="s">
        <v>138</v>
      </c>
      <c r="D67" s="2" t="s">
        <v>136</v>
      </c>
      <c r="E67" s="1" t="s">
        <v>12</v>
      </c>
      <c r="F67" s="1" t="s">
        <v>13</v>
      </c>
      <c r="G67" s="5" t="str">
        <f t="shared" si="5"/>
        <v>    CPDEMO1C, </v>
      </c>
      <c r="H67" s="5" t="str">
        <f t="shared" si="4"/>
        <v>    SUM(IF(CPDEMO1C IS NULL, 1, 0)) AS CPDEMO1C_nullcount, </v>
      </c>
    </row>
    <row r="68">
      <c r="A68" s="1">
        <v>40.0</v>
      </c>
      <c r="B68" s="8" t="s">
        <v>139</v>
      </c>
      <c r="C68" s="2" t="s">
        <v>140</v>
      </c>
      <c r="D68" s="2" t="s">
        <v>80</v>
      </c>
      <c r="E68" s="1" t="s">
        <v>12</v>
      </c>
      <c r="F68" s="1" t="s">
        <v>13</v>
      </c>
      <c r="G68" s="5" t="str">
        <f t="shared" si="5"/>
        <v>    VETERAN3, </v>
      </c>
      <c r="H68" s="5" t="str">
        <f t="shared" si="4"/>
        <v>    SUM(IF(VETERAN3 IS NULL, 1, 0)) AS VETERAN3_nullcount, </v>
      </c>
    </row>
    <row r="69">
      <c r="A69" s="1">
        <v>41.0</v>
      </c>
      <c r="B69" s="8" t="s">
        <v>141</v>
      </c>
      <c r="C69" s="2" t="s">
        <v>142</v>
      </c>
      <c r="D69" s="2" t="s">
        <v>143</v>
      </c>
      <c r="E69" s="1" t="s">
        <v>12</v>
      </c>
      <c r="F69" s="1" t="s">
        <v>13</v>
      </c>
      <c r="G69" s="5" t="str">
        <f t="shared" si="5"/>
        <v>    EMPLOY1, </v>
      </c>
      <c r="H69" s="5" t="str">
        <f t="shared" si="4"/>
        <v>    SUM(IF(EMPLOY1 IS NULL, 1, 0)) AS EMPLOY1_nullcount, </v>
      </c>
    </row>
    <row r="70">
      <c r="A70" s="1">
        <v>42.0</v>
      </c>
      <c r="B70" s="8" t="s">
        <v>144</v>
      </c>
      <c r="C70" s="2" t="s">
        <v>145</v>
      </c>
      <c r="D70" s="2" t="s">
        <v>146</v>
      </c>
      <c r="E70" s="1" t="s">
        <v>12</v>
      </c>
      <c r="F70" s="1" t="s">
        <v>13</v>
      </c>
      <c r="G70" s="5" t="str">
        <f t="shared" si="5"/>
        <v>    CHILDREN, </v>
      </c>
      <c r="H70" s="5" t="str">
        <f t="shared" si="4"/>
        <v>    SUM(IF(CHILDREN IS NULL, 1, 0)) AS CHILDREN_nullcount, </v>
      </c>
    </row>
    <row r="71">
      <c r="A71" s="1">
        <v>43.0</v>
      </c>
      <c r="B71" s="8" t="s">
        <v>147</v>
      </c>
      <c r="C71" s="2" t="s">
        <v>148</v>
      </c>
      <c r="D71" s="2" t="s">
        <v>149</v>
      </c>
      <c r="E71" s="1" t="s">
        <v>12</v>
      </c>
      <c r="F71" s="1" t="s">
        <v>13</v>
      </c>
      <c r="G71" s="5" t="str">
        <f t="shared" si="5"/>
        <v>    INCOME3, </v>
      </c>
      <c r="H71" s="5" t="str">
        <f t="shared" si="4"/>
        <v>    SUM(IF(INCOME3 IS NULL, 1, 0)) AS INCOME3_nullcount, </v>
      </c>
    </row>
    <row r="72">
      <c r="A72" s="1">
        <v>44.0</v>
      </c>
      <c r="B72" s="8" t="s">
        <v>150</v>
      </c>
      <c r="C72" s="2" t="s">
        <v>151</v>
      </c>
      <c r="D72" s="2" t="s">
        <v>80</v>
      </c>
      <c r="E72" s="1" t="s">
        <v>12</v>
      </c>
      <c r="F72" s="1" t="s">
        <v>13</v>
      </c>
      <c r="G72" s="5" t="str">
        <f t="shared" si="5"/>
        <v>    PREGNANT, </v>
      </c>
      <c r="H72" s="5" t="str">
        <f t="shared" si="4"/>
        <v>    SUM(IF(PREGNANT IS NULL, 1, 0)) AS PREGNANT_nullcount, </v>
      </c>
    </row>
    <row r="73">
      <c r="A73" s="1">
        <v>45.0</v>
      </c>
      <c r="B73" s="8" t="s">
        <v>152</v>
      </c>
      <c r="C73" s="2" t="s">
        <v>153</v>
      </c>
      <c r="D73" s="2" t="s">
        <v>154</v>
      </c>
      <c r="E73" s="1" t="s">
        <v>12</v>
      </c>
      <c r="F73" s="1" t="s">
        <v>13</v>
      </c>
      <c r="G73" s="5" t="str">
        <f t="shared" si="5"/>
        <v>    WEIGHT2, </v>
      </c>
      <c r="H73" s="5" t="str">
        <f t="shared" si="4"/>
        <v>    SUM(IF(WEIGHT2 IS NULL, 1, 0)) AS WEIGHT2_nullcount, </v>
      </c>
    </row>
    <row r="74">
      <c r="A74" s="1">
        <v>46.0</v>
      </c>
      <c r="B74" s="8" t="s">
        <v>155</v>
      </c>
      <c r="C74" s="2" t="s">
        <v>156</v>
      </c>
      <c r="D74" s="2" t="s">
        <v>157</v>
      </c>
      <c r="E74" s="1" t="s">
        <v>12</v>
      </c>
      <c r="F74" s="1" t="s">
        <v>13</v>
      </c>
      <c r="G74" s="5" t="str">
        <f t="shared" si="5"/>
        <v>    HEIGHT3, </v>
      </c>
      <c r="H74" s="5" t="str">
        <f t="shared" si="4"/>
        <v>    SUM(IF(HEIGHT3 IS NULL, 1, 0)) AS HEIGHT3_nullcount, </v>
      </c>
    </row>
    <row r="75">
      <c r="A75" s="1">
        <v>47.0</v>
      </c>
      <c r="B75" s="9" t="s">
        <v>158</v>
      </c>
      <c r="C75" s="2" t="s">
        <v>159</v>
      </c>
      <c r="D75" s="2" t="s">
        <v>80</v>
      </c>
      <c r="E75" s="1" t="s">
        <v>12</v>
      </c>
      <c r="F75" s="1" t="s">
        <v>13</v>
      </c>
      <c r="G75" s="5" t="str">
        <f t="shared" si="5"/>
        <v>    DEAF, </v>
      </c>
      <c r="H75" s="5" t="str">
        <f t="shared" si="4"/>
        <v>    SUM(IF(DEAF IS NULL, 1, 0)) AS DEAF_nullcount, </v>
      </c>
    </row>
    <row r="76">
      <c r="A76" s="1">
        <v>48.0</v>
      </c>
      <c r="B76" s="9" t="s">
        <v>160</v>
      </c>
      <c r="C76" s="2" t="s">
        <v>161</v>
      </c>
      <c r="D76" s="2" t="s">
        <v>80</v>
      </c>
      <c r="E76" s="1" t="s">
        <v>12</v>
      </c>
      <c r="F76" s="1" t="s">
        <v>13</v>
      </c>
      <c r="G76" s="5" t="str">
        <f t="shared" si="5"/>
        <v>    BLIND, </v>
      </c>
      <c r="H76" s="5" t="str">
        <f t="shared" si="4"/>
        <v>    SUM(IF(BLIND IS NULL, 1, 0)) AS BLIND_nullcount, </v>
      </c>
    </row>
    <row r="77">
      <c r="A77" s="1">
        <v>49.0</v>
      </c>
      <c r="B77" s="9" t="s">
        <v>162</v>
      </c>
      <c r="C77" s="2" t="s">
        <v>163</v>
      </c>
      <c r="D77" s="2" t="s">
        <v>80</v>
      </c>
      <c r="E77" s="1" t="s">
        <v>12</v>
      </c>
      <c r="F77" s="1" t="s">
        <v>13</v>
      </c>
      <c r="G77" s="5" t="str">
        <f t="shared" si="5"/>
        <v>    DECIDE, </v>
      </c>
      <c r="H77" s="5" t="str">
        <f t="shared" si="4"/>
        <v>    SUM(IF(DECIDE IS NULL, 1, 0)) AS DECIDE_nullcount, </v>
      </c>
    </row>
    <row r="78">
      <c r="A78" s="1">
        <v>50.0</v>
      </c>
      <c r="B78" s="9" t="s">
        <v>164</v>
      </c>
      <c r="C78" s="2" t="s">
        <v>165</v>
      </c>
      <c r="D78" s="2" t="s">
        <v>80</v>
      </c>
      <c r="E78" s="1" t="s">
        <v>12</v>
      </c>
      <c r="F78" s="1" t="s">
        <v>13</v>
      </c>
      <c r="G78" s="5" t="str">
        <f t="shared" si="5"/>
        <v>    DIFFWALK, </v>
      </c>
      <c r="H78" s="5" t="str">
        <f t="shared" si="4"/>
        <v>    SUM(IF(DIFFWALK IS NULL, 1, 0)) AS DIFFWALK_nullcount, </v>
      </c>
    </row>
    <row r="79">
      <c r="A79" s="1">
        <v>51.0</v>
      </c>
      <c r="B79" s="9" t="s">
        <v>166</v>
      </c>
      <c r="C79" s="2" t="s">
        <v>167</v>
      </c>
      <c r="D79" s="2" t="s">
        <v>80</v>
      </c>
      <c r="E79" s="1" t="s">
        <v>12</v>
      </c>
      <c r="F79" s="1" t="s">
        <v>13</v>
      </c>
      <c r="G79" s="5" t="str">
        <f t="shared" si="5"/>
        <v>    DIFFDRES, </v>
      </c>
      <c r="H79" s="5" t="str">
        <f t="shared" si="4"/>
        <v>    SUM(IF(DIFFDRES IS NULL, 1, 0)) AS DIFFDRES_nullcount, </v>
      </c>
    </row>
    <row r="80">
      <c r="A80" s="1">
        <v>52.0</v>
      </c>
      <c r="B80" s="9" t="s">
        <v>168</v>
      </c>
      <c r="C80" s="2" t="s">
        <v>169</v>
      </c>
      <c r="D80" s="2" t="s">
        <v>80</v>
      </c>
      <c r="E80" s="1" t="s">
        <v>12</v>
      </c>
      <c r="F80" s="1" t="s">
        <v>13</v>
      </c>
      <c r="G80" s="5" t="str">
        <f t="shared" si="5"/>
        <v>    DIFFALON, </v>
      </c>
      <c r="H80" s="5" t="str">
        <f t="shared" si="4"/>
        <v>    SUM(IF(DIFFALON IS NULL, 1, 0)) AS DIFFALON_nullcount, </v>
      </c>
    </row>
    <row r="81">
      <c r="A81" s="1">
        <v>53.0</v>
      </c>
      <c r="B81" s="10" t="s">
        <v>170</v>
      </c>
      <c r="C81" s="2" t="s">
        <v>171</v>
      </c>
      <c r="D81" s="2" t="s">
        <v>80</v>
      </c>
      <c r="E81" s="1" t="s">
        <v>12</v>
      </c>
      <c r="F81" s="1" t="s">
        <v>13</v>
      </c>
      <c r="G81" s="5" t="str">
        <f t="shared" si="5"/>
        <v>    HADMAM, </v>
      </c>
      <c r="H81" s="5" t="str">
        <f t="shared" si="4"/>
        <v>    SUM(IF(HADMAM IS NULL, 1, 0)) AS HADMAM_nullcount, </v>
      </c>
    </row>
    <row r="82">
      <c r="A82" s="1">
        <v>54.0</v>
      </c>
      <c r="B82" s="10" t="s">
        <v>172</v>
      </c>
      <c r="C82" s="2" t="s">
        <v>173</v>
      </c>
      <c r="D82" s="2" t="s">
        <v>174</v>
      </c>
      <c r="E82" s="1" t="s">
        <v>12</v>
      </c>
      <c r="F82" s="1" t="s">
        <v>13</v>
      </c>
      <c r="G82" s="5" t="str">
        <f t="shared" si="5"/>
        <v>    HOWLONG, </v>
      </c>
      <c r="H82" s="5" t="str">
        <f t="shared" si="4"/>
        <v>    SUM(IF(HOWLONG IS NULL, 1, 0)) AS HOWLONG_nullcount, </v>
      </c>
    </row>
    <row r="83">
      <c r="A83" s="1">
        <v>55.0</v>
      </c>
      <c r="B83" s="10" t="s">
        <v>175</v>
      </c>
      <c r="C83" s="2" t="s">
        <v>176</v>
      </c>
      <c r="D83" s="2" t="s">
        <v>80</v>
      </c>
      <c r="E83" s="1" t="s">
        <v>12</v>
      </c>
      <c r="F83" s="1" t="s">
        <v>13</v>
      </c>
      <c r="G83" s="5" t="str">
        <f t="shared" si="5"/>
        <v>    CERVSCRN, </v>
      </c>
      <c r="H83" s="5" t="str">
        <f t="shared" si="4"/>
        <v>    SUM(IF(CERVSCRN IS NULL, 1, 0)) AS CERVSCRN_nullcount, </v>
      </c>
    </row>
    <row r="84">
      <c r="A84" s="1">
        <v>56.0</v>
      </c>
      <c r="B84" s="10" t="s">
        <v>177</v>
      </c>
      <c r="C84" s="2" t="s">
        <v>178</v>
      </c>
      <c r="D84" s="2" t="s">
        <v>174</v>
      </c>
      <c r="E84" s="1" t="s">
        <v>12</v>
      </c>
      <c r="F84" s="1" t="s">
        <v>13</v>
      </c>
      <c r="G84" s="5" t="str">
        <f t="shared" si="5"/>
        <v>    CRVCLCNC, </v>
      </c>
      <c r="H84" s="5" t="str">
        <f t="shared" si="4"/>
        <v>    SUM(IF(CRVCLCNC IS NULL, 1, 0)) AS CRVCLCNC_nullcount, </v>
      </c>
    </row>
    <row r="85">
      <c r="A85" s="1">
        <v>57.0</v>
      </c>
      <c r="B85" s="10" t="s">
        <v>179</v>
      </c>
      <c r="C85" s="2" t="s">
        <v>180</v>
      </c>
      <c r="D85" s="2" t="s">
        <v>80</v>
      </c>
      <c r="E85" s="1" t="s">
        <v>12</v>
      </c>
      <c r="F85" s="1" t="s">
        <v>13</v>
      </c>
      <c r="G85" s="5" t="str">
        <f t="shared" si="5"/>
        <v>    CRVCLPAP, </v>
      </c>
      <c r="H85" s="5" t="str">
        <f t="shared" si="4"/>
        <v>    SUM(IF(CRVCLPAP IS NULL, 1, 0)) AS CRVCLPAP_nullcount, </v>
      </c>
    </row>
    <row r="86">
      <c r="A86" s="1">
        <v>58.0</v>
      </c>
      <c r="B86" s="10" t="s">
        <v>181</v>
      </c>
      <c r="C86" s="2" t="s">
        <v>182</v>
      </c>
      <c r="D86" s="2" t="s">
        <v>80</v>
      </c>
      <c r="E86" s="1" t="s">
        <v>12</v>
      </c>
      <c r="F86" s="1" t="s">
        <v>13</v>
      </c>
      <c r="G86" s="5" t="str">
        <f t="shared" si="5"/>
        <v>    CRVCLHPV, </v>
      </c>
      <c r="H86" s="5" t="str">
        <f t="shared" si="4"/>
        <v>    SUM(IF(CRVCLHPV IS NULL, 1, 0)) AS CRVCLHPV_nullcount, </v>
      </c>
    </row>
    <row r="87">
      <c r="A87" s="1">
        <v>59.0</v>
      </c>
      <c r="B87" s="10" t="s">
        <v>183</v>
      </c>
      <c r="C87" s="2" t="s">
        <v>184</v>
      </c>
      <c r="D87" s="2" t="s">
        <v>80</v>
      </c>
      <c r="E87" s="1" t="s">
        <v>12</v>
      </c>
      <c r="F87" s="1" t="s">
        <v>13</v>
      </c>
      <c r="G87" s="5" t="str">
        <f t="shared" si="5"/>
        <v>    HADHYST2, </v>
      </c>
      <c r="H87" s="5" t="str">
        <f t="shared" si="4"/>
        <v>    SUM(IF(HADHYST2 IS NULL, 1, 0)) AS HADHYST2_nullcount, </v>
      </c>
    </row>
    <row r="88">
      <c r="A88" s="1">
        <v>60.0</v>
      </c>
      <c r="B88" s="10" t="s">
        <v>185</v>
      </c>
      <c r="C88" s="2" t="s">
        <v>186</v>
      </c>
      <c r="D88" s="2" t="s">
        <v>80</v>
      </c>
      <c r="E88" s="1" t="s">
        <v>12</v>
      </c>
      <c r="F88" s="1" t="s">
        <v>13</v>
      </c>
      <c r="G88" s="5" t="str">
        <f t="shared" si="5"/>
        <v>    HADSIGM4, </v>
      </c>
      <c r="H88" s="5" t="str">
        <f t="shared" si="4"/>
        <v>    SUM(IF(HADSIGM4 IS NULL, 1, 0)) AS HADSIGM4_nullcount, </v>
      </c>
    </row>
    <row r="89">
      <c r="A89" s="1">
        <v>61.0</v>
      </c>
      <c r="B89" s="10" t="s">
        <v>187</v>
      </c>
      <c r="C89" s="2" t="s">
        <v>188</v>
      </c>
      <c r="D89" s="2" t="s">
        <v>189</v>
      </c>
      <c r="E89" s="1" t="s">
        <v>12</v>
      </c>
      <c r="F89" s="1" t="s">
        <v>13</v>
      </c>
      <c r="G89" s="5" t="str">
        <f t="shared" si="5"/>
        <v>    COLNSIGM, </v>
      </c>
      <c r="H89" s="5" t="str">
        <f t="shared" si="4"/>
        <v>    SUM(IF(COLNSIGM IS NULL, 1, 0)) AS COLNSIGM_nullcount, </v>
      </c>
    </row>
    <row r="90">
      <c r="A90" s="1">
        <v>62.0</v>
      </c>
      <c r="B90" s="10" t="s">
        <v>190</v>
      </c>
      <c r="C90" s="2" t="s">
        <v>191</v>
      </c>
      <c r="D90" s="2" t="s">
        <v>192</v>
      </c>
      <c r="E90" s="1" t="s">
        <v>12</v>
      </c>
      <c r="F90" s="1" t="s">
        <v>13</v>
      </c>
      <c r="G90" s="5" t="str">
        <f t="shared" si="5"/>
        <v>    COLNTES1, </v>
      </c>
      <c r="H90" s="5" t="str">
        <f t="shared" si="4"/>
        <v>    SUM(IF(COLNTES1 IS NULL, 1, 0)) AS COLNTES1_nullcount, </v>
      </c>
    </row>
    <row r="91">
      <c r="A91" s="1">
        <v>63.0</v>
      </c>
      <c r="B91" s="10" t="s">
        <v>193</v>
      </c>
      <c r="C91" s="2" t="s">
        <v>194</v>
      </c>
      <c r="D91" s="2" t="s">
        <v>192</v>
      </c>
      <c r="E91" s="1" t="s">
        <v>12</v>
      </c>
      <c r="F91" s="1" t="s">
        <v>13</v>
      </c>
      <c r="G91" s="5" t="str">
        <f t="shared" si="5"/>
        <v>    SIGMTES1, </v>
      </c>
      <c r="H91" s="5" t="str">
        <f t="shared" si="4"/>
        <v>    SUM(IF(SIGMTES1 IS NULL, 1, 0)) AS SIGMTES1_nullcount, </v>
      </c>
    </row>
    <row r="92">
      <c r="A92" s="1">
        <v>64.0</v>
      </c>
      <c r="B92" s="10" t="s">
        <v>195</v>
      </c>
      <c r="C92" s="2" t="s">
        <v>196</v>
      </c>
      <c r="D92" s="2" t="s">
        <v>192</v>
      </c>
      <c r="E92" s="1" t="s">
        <v>12</v>
      </c>
      <c r="F92" s="1" t="s">
        <v>13</v>
      </c>
      <c r="G92" s="5" t="str">
        <f t="shared" si="5"/>
        <v>    LASTSIG4, </v>
      </c>
      <c r="H92" s="5" t="str">
        <f t="shared" si="4"/>
        <v>    SUM(IF(LASTSIG4 IS NULL, 1, 0)) AS LASTSIG4_nullcount, </v>
      </c>
    </row>
    <row r="93">
      <c r="A93" s="1">
        <v>65.0</v>
      </c>
      <c r="B93" s="10" t="s">
        <v>197</v>
      </c>
      <c r="C93" s="2" t="s">
        <v>198</v>
      </c>
      <c r="D93" s="2" t="s">
        <v>80</v>
      </c>
      <c r="E93" s="1" t="s">
        <v>12</v>
      </c>
      <c r="F93" s="1" t="s">
        <v>13</v>
      </c>
      <c r="G93" s="5" t="str">
        <f t="shared" si="5"/>
        <v>    COLNCNCR, </v>
      </c>
      <c r="H93" s="5" t="str">
        <f t="shared" si="4"/>
        <v>    SUM(IF(COLNCNCR IS NULL, 1, 0)) AS COLNCNCR_nullcount, </v>
      </c>
    </row>
    <row r="94">
      <c r="A94" s="1">
        <v>66.0</v>
      </c>
      <c r="B94" s="10" t="s">
        <v>199</v>
      </c>
      <c r="C94" s="2" t="s">
        <v>200</v>
      </c>
      <c r="D94" s="2" t="s">
        <v>80</v>
      </c>
      <c r="E94" s="1" t="s">
        <v>12</v>
      </c>
      <c r="F94" s="1" t="s">
        <v>13</v>
      </c>
      <c r="G94" s="5" t="str">
        <f t="shared" si="5"/>
        <v>    VIRCOLO1, </v>
      </c>
      <c r="H94" s="5" t="str">
        <f t="shared" si="4"/>
        <v>    SUM(IF(VIRCOLO1 IS NULL, 1, 0)) AS VIRCOLO1_nullcount, </v>
      </c>
    </row>
    <row r="95">
      <c r="A95" s="1">
        <v>67.0</v>
      </c>
      <c r="B95" s="10" t="s">
        <v>201</v>
      </c>
      <c r="C95" s="2" t="s">
        <v>202</v>
      </c>
      <c r="D95" s="2" t="s">
        <v>192</v>
      </c>
      <c r="E95" s="1" t="s">
        <v>12</v>
      </c>
      <c r="F95" s="1" t="s">
        <v>13</v>
      </c>
      <c r="G95" s="5" t="str">
        <f t="shared" si="5"/>
        <v>    VCLNTES2, </v>
      </c>
      <c r="H95" s="5" t="str">
        <f t="shared" si="4"/>
        <v>    SUM(IF(VCLNTES2 IS NULL, 1, 0)) AS VCLNTES2_nullcount, </v>
      </c>
    </row>
    <row r="96">
      <c r="A96" s="1">
        <v>68.0</v>
      </c>
      <c r="B96" s="10" t="s">
        <v>203</v>
      </c>
      <c r="C96" s="2" t="s">
        <v>204</v>
      </c>
      <c r="D96" s="2" t="s">
        <v>80</v>
      </c>
      <c r="E96" s="1" t="s">
        <v>12</v>
      </c>
      <c r="F96" s="1" t="s">
        <v>13</v>
      </c>
      <c r="G96" s="5" t="str">
        <f t="shared" si="5"/>
        <v>    SMALSTOL, </v>
      </c>
      <c r="H96" s="5" t="str">
        <f t="shared" si="4"/>
        <v>    SUM(IF(SMALSTOL IS NULL, 1, 0)) AS SMALSTOL_nullcount, </v>
      </c>
    </row>
    <row r="97">
      <c r="A97" s="1">
        <v>69.0</v>
      </c>
      <c r="B97" s="10" t="s">
        <v>205</v>
      </c>
      <c r="C97" s="2" t="s">
        <v>206</v>
      </c>
      <c r="D97" s="2" t="s">
        <v>207</v>
      </c>
      <c r="E97" s="1" t="s">
        <v>12</v>
      </c>
      <c r="F97" s="1" t="s">
        <v>13</v>
      </c>
      <c r="G97" s="5" t="str">
        <f t="shared" si="5"/>
        <v>    STOLTEST, </v>
      </c>
      <c r="H97" s="5" t="str">
        <f t="shared" si="4"/>
        <v>    SUM(IF(STOLTEST IS NULL, 1, 0)) AS STOLTEST_nullcount, </v>
      </c>
    </row>
    <row r="98">
      <c r="A98" s="1">
        <v>70.0</v>
      </c>
      <c r="B98" s="10" t="s">
        <v>208</v>
      </c>
      <c r="C98" s="2" t="s">
        <v>209</v>
      </c>
      <c r="D98" s="2" t="s">
        <v>80</v>
      </c>
      <c r="E98" s="1" t="s">
        <v>12</v>
      </c>
      <c r="F98" s="1" t="s">
        <v>13</v>
      </c>
      <c r="G98" s="5" t="str">
        <f t="shared" si="5"/>
        <v>    STOOLDN2, </v>
      </c>
      <c r="H98" s="5" t="str">
        <f t="shared" si="4"/>
        <v>    SUM(IF(STOOLDN2 IS NULL, 1, 0)) AS STOOLDN2_nullcount, </v>
      </c>
    </row>
    <row r="99">
      <c r="A99" s="1">
        <v>71.0</v>
      </c>
      <c r="B99" s="10" t="s">
        <v>210</v>
      </c>
      <c r="C99" s="2" t="s">
        <v>211</v>
      </c>
      <c r="D99" s="2" t="s">
        <v>80</v>
      </c>
      <c r="E99" s="1" t="s">
        <v>12</v>
      </c>
      <c r="F99" s="1" t="s">
        <v>13</v>
      </c>
      <c r="G99" s="5" t="str">
        <f t="shared" si="5"/>
        <v>    BLDSTFIT, </v>
      </c>
      <c r="H99" s="5" t="str">
        <f t="shared" si="4"/>
        <v>    SUM(IF(BLDSTFIT IS NULL, 1, 0)) AS BLDSTFIT_nullcount, </v>
      </c>
    </row>
    <row r="100">
      <c r="A100" s="1">
        <v>72.0</v>
      </c>
      <c r="B100" s="10" t="s">
        <v>212</v>
      </c>
      <c r="C100" s="2" t="s">
        <v>206</v>
      </c>
      <c r="D100" s="2" t="s">
        <v>207</v>
      </c>
      <c r="E100" s="1" t="s">
        <v>12</v>
      </c>
      <c r="F100" s="1" t="s">
        <v>13</v>
      </c>
      <c r="G100" s="5" t="str">
        <f t="shared" si="5"/>
        <v>    SDNATES1, </v>
      </c>
      <c r="H100" s="5" t="str">
        <f t="shared" si="4"/>
        <v>    SUM(IF(SDNATES1 IS NULL, 1, 0)) AS SDNATES1_nullcount, </v>
      </c>
    </row>
    <row r="101">
      <c r="A101" s="1">
        <v>73.0</v>
      </c>
      <c r="B101" s="11" t="s">
        <v>213</v>
      </c>
      <c r="C101" s="2" t="s">
        <v>214</v>
      </c>
      <c r="D101" s="2" t="s">
        <v>80</v>
      </c>
      <c r="E101" s="1" t="s">
        <v>12</v>
      </c>
      <c r="F101" s="1" t="s">
        <v>13</v>
      </c>
      <c r="G101" s="5" t="str">
        <f t="shared" si="5"/>
        <v>    SMOKE100, </v>
      </c>
      <c r="H101" s="5" t="str">
        <f t="shared" si="4"/>
        <v>    SUM(IF(SMOKE100 IS NULL, 1, 0)) AS SMOKE100_nullcount, </v>
      </c>
    </row>
    <row r="102">
      <c r="A102" s="1">
        <v>74.0</v>
      </c>
      <c r="B102" s="11" t="s">
        <v>215</v>
      </c>
      <c r="C102" s="2" t="s">
        <v>216</v>
      </c>
      <c r="D102" s="2" t="s">
        <v>217</v>
      </c>
      <c r="E102" s="1" t="s">
        <v>12</v>
      </c>
      <c r="F102" s="1" t="s">
        <v>13</v>
      </c>
      <c r="G102" s="5" t="str">
        <f t="shared" si="5"/>
        <v>    SMOKDAY2, </v>
      </c>
      <c r="H102" s="5" t="str">
        <f t="shared" si="4"/>
        <v>    SUM(IF(SMOKDAY2 IS NULL, 1, 0)) AS SMOKDAY2_nullcount, </v>
      </c>
    </row>
    <row r="103">
      <c r="A103" s="1">
        <v>75.0</v>
      </c>
      <c r="B103" s="11" t="s">
        <v>218</v>
      </c>
      <c r="C103" s="2" t="s">
        <v>219</v>
      </c>
      <c r="D103" s="2" t="s">
        <v>217</v>
      </c>
      <c r="E103" s="1" t="s">
        <v>12</v>
      </c>
      <c r="F103" s="1" t="s">
        <v>13</v>
      </c>
      <c r="G103" s="5" t="str">
        <f t="shared" si="5"/>
        <v>    USENOW3, </v>
      </c>
      <c r="H103" s="5" t="str">
        <f t="shared" si="4"/>
        <v>    SUM(IF(USENOW3 IS NULL, 1, 0)) AS USENOW3_nullcount, </v>
      </c>
    </row>
    <row r="104">
      <c r="A104" s="1">
        <v>76.0</v>
      </c>
      <c r="B104" s="11" t="s">
        <v>220</v>
      </c>
      <c r="C104" s="2" t="s">
        <v>221</v>
      </c>
      <c r="D104" s="2" t="s">
        <v>222</v>
      </c>
      <c r="E104" s="1" t="s">
        <v>12</v>
      </c>
      <c r="F104" s="1" t="s">
        <v>13</v>
      </c>
      <c r="G104" s="5" t="str">
        <f t="shared" si="5"/>
        <v>    ECIGNOW2, </v>
      </c>
      <c r="H104" s="5" t="str">
        <f t="shared" si="4"/>
        <v>    SUM(IF(ECIGNOW2 IS NULL, 1, 0)) AS ECIGNOW2_nullcount, </v>
      </c>
    </row>
    <row r="105">
      <c r="A105" s="1">
        <v>77.0</v>
      </c>
      <c r="B105" s="11" t="s">
        <v>223</v>
      </c>
      <c r="C105" s="2" t="s">
        <v>224</v>
      </c>
      <c r="D105" s="2" t="s">
        <v>225</v>
      </c>
      <c r="E105" s="1" t="s">
        <v>12</v>
      </c>
      <c r="F105" s="1" t="s">
        <v>13</v>
      </c>
      <c r="G105" s="5" t="str">
        <f t="shared" si="5"/>
        <v>    LCSFIRST, </v>
      </c>
      <c r="H105" s="5" t="str">
        <f t="shared" si="4"/>
        <v>    SUM(IF(LCSFIRST IS NULL, 1, 0)) AS LCSFIRST_nullcount, </v>
      </c>
    </row>
    <row r="106">
      <c r="A106" s="1">
        <v>78.0</v>
      </c>
      <c r="B106" s="11" t="s">
        <v>226</v>
      </c>
      <c r="C106" s="2" t="s">
        <v>227</v>
      </c>
      <c r="D106" s="2" t="s">
        <v>228</v>
      </c>
      <c r="E106" s="1" t="s">
        <v>12</v>
      </c>
      <c r="F106" s="1" t="s">
        <v>13</v>
      </c>
      <c r="G106" s="5" t="str">
        <f t="shared" si="5"/>
        <v>    LCSLAST, </v>
      </c>
      <c r="H106" s="5" t="str">
        <f t="shared" si="4"/>
        <v>    SUM(IF(LCSLAST IS NULL, 1, 0)) AS LCSLAST_nullcount, </v>
      </c>
    </row>
    <row r="107">
      <c r="A107" s="1">
        <v>79.0</v>
      </c>
      <c r="B107" s="11" t="s">
        <v>229</v>
      </c>
      <c r="C107" s="2" t="s">
        <v>230</v>
      </c>
      <c r="D107" s="2" t="s">
        <v>231</v>
      </c>
      <c r="E107" s="1" t="s">
        <v>12</v>
      </c>
      <c r="F107" s="1" t="s">
        <v>13</v>
      </c>
      <c r="G107" s="5" t="str">
        <f t="shared" si="5"/>
        <v>    LCSNUMCG, </v>
      </c>
      <c r="H107" s="5" t="str">
        <f t="shared" si="4"/>
        <v>    SUM(IF(LCSNUMCG IS NULL, 1, 0)) AS LCSNUMCG_nullcount, </v>
      </c>
    </row>
    <row r="108">
      <c r="A108" s="1">
        <v>80.0</v>
      </c>
      <c r="B108" s="11" t="s">
        <v>232</v>
      </c>
      <c r="C108" s="2" t="s">
        <v>233</v>
      </c>
      <c r="D108" s="2" t="s">
        <v>80</v>
      </c>
      <c r="E108" s="1" t="s">
        <v>12</v>
      </c>
      <c r="F108" s="1" t="s">
        <v>13</v>
      </c>
      <c r="G108" s="5" t="str">
        <f t="shared" si="5"/>
        <v>    LCSCTSC1, </v>
      </c>
      <c r="H108" s="5" t="str">
        <f t="shared" si="4"/>
        <v>    SUM(IF(LCSCTSC1 IS NULL, 1, 0)) AS LCSCTSC1_nullcount, </v>
      </c>
    </row>
    <row r="109">
      <c r="A109" s="1">
        <v>81.0</v>
      </c>
      <c r="B109" s="11" t="s">
        <v>234</v>
      </c>
      <c r="C109" s="2" t="s">
        <v>235</v>
      </c>
      <c r="D109" s="2" t="s">
        <v>80</v>
      </c>
      <c r="E109" s="1" t="s">
        <v>12</v>
      </c>
      <c r="F109" s="1" t="s">
        <v>13</v>
      </c>
      <c r="G109" s="5" t="str">
        <f t="shared" si="5"/>
        <v>    LCSSCNCR, </v>
      </c>
      <c r="H109" s="5" t="str">
        <f t="shared" si="4"/>
        <v>    SUM(IF(LCSSCNCR IS NULL, 1, 0)) AS LCSSCNCR_nullcount, </v>
      </c>
    </row>
    <row r="110">
      <c r="A110" s="1">
        <v>82.0</v>
      </c>
      <c r="B110" s="11" t="s">
        <v>236</v>
      </c>
      <c r="C110" s="2" t="s">
        <v>237</v>
      </c>
      <c r="D110" s="2" t="s">
        <v>238</v>
      </c>
      <c r="E110" s="1" t="s">
        <v>12</v>
      </c>
      <c r="F110" s="1" t="s">
        <v>13</v>
      </c>
      <c r="G110" s="5" t="str">
        <f t="shared" si="5"/>
        <v>    LCSCTWHN, </v>
      </c>
      <c r="H110" s="5" t="str">
        <f t="shared" si="4"/>
        <v>    SUM(IF(LCSCTWHN IS NULL, 1, 0)) AS LCSCTWHN_nullcount, </v>
      </c>
    </row>
    <row r="111">
      <c r="A111" s="1">
        <v>83.0</v>
      </c>
      <c r="B111" s="11" t="s">
        <v>239</v>
      </c>
      <c r="C111" s="2" t="s">
        <v>240</v>
      </c>
      <c r="D111" s="2" t="s">
        <v>241</v>
      </c>
      <c r="E111" s="1" t="s">
        <v>12</v>
      </c>
      <c r="F111" s="1" t="s">
        <v>13</v>
      </c>
      <c r="G111" s="5" t="str">
        <f t="shared" si="5"/>
        <v>    ALCDAY4, </v>
      </c>
      <c r="H111" s="5" t="str">
        <f t="shared" si="4"/>
        <v>    SUM(IF(ALCDAY4 IS NULL, 1, 0)) AS ALCDAY4_nullcount, </v>
      </c>
    </row>
    <row r="112">
      <c r="A112" s="1">
        <v>84.0</v>
      </c>
      <c r="B112" s="11" t="s">
        <v>242</v>
      </c>
      <c r="C112" s="2" t="s">
        <v>243</v>
      </c>
      <c r="D112" s="2" t="s">
        <v>244</v>
      </c>
      <c r="E112" s="1" t="s">
        <v>12</v>
      </c>
      <c r="F112" s="1" t="s">
        <v>13</v>
      </c>
      <c r="G112" s="5" t="str">
        <f t="shared" si="5"/>
        <v>    AVEDRNK3, </v>
      </c>
      <c r="H112" s="5" t="str">
        <f t="shared" si="4"/>
        <v>    SUM(IF(AVEDRNK3 IS NULL, 1, 0)) AS AVEDRNK3_nullcount, </v>
      </c>
    </row>
    <row r="113">
      <c r="A113" s="1">
        <v>85.0</v>
      </c>
      <c r="B113" s="11" t="s">
        <v>245</v>
      </c>
      <c r="C113" s="2" t="s">
        <v>246</v>
      </c>
      <c r="D113" s="2" t="s">
        <v>247</v>
      </c>
      <c r="E113" s="1" t="s">
        <v>12</v>
      </c>
      <c r="F113" s="1" t="s">
        <v>13</v>
      </c>
      <c r="G113" s="5" t="str">
        <f t="shared" si="5"/>
        <v>    DRNK3GE5, </v>
      </c>
      <c r="H113" s="5" t="str">
        <f t="shared" si="4"/>
        <v>    SUM(IF(DRNK3GE5 IS NULL, 1, 0)) AS DRNK3GE5_nullcount, </v>
      </c>
    </row>
    <row r="114">
      <c r="A114" s="1">
        <v>86.0</v>
      </c>
      <c r="B114" s="11" t="s">
        <v>248</v>
      </c>
      <c r="C114" s="2" t="s">
        <v>249</v>
      </c>
      <c r="D114" s="2" t="s">
        <v>250</v>
      </c>
      <c r="E114" s="1" t="s">
        <v>12</v>
      </c>
      <c r="F114" s="1" t="s">
        <v>13</v>
      </c>
      <c r="G114" s="5" t="str">
        <f t="shared" si="5"/>
        <v>    MAXDRNKS, </v>
      </c>
      <c r="H114" s="5" t="str">
        <f t="shared" si="4"/>
        <v>    SUM(IF(MAXDRNKS IS NULL, 1, 0)) AS MAXDRNKS_nullcount, </v>
      </c>
    </row>
    <row r="115">
      <c r="A115" s="1">
        <v>87.0</v>
      </c>
      <c r="B115" s="11" t="s">
        <v>251</v>
      </c>
      <c r="C115" s="2" t="s">
        <v>252</v>
      </c>
      <c r="D115" s="2" t="s">
        <v>80</v>
      </c>
      <c r="E115" s="1" t="s">
        <v>12</v>
      </c>
      <c r="F115" s="1" t="s">
        <v>13</v>
      </c>
      <c r="G115" s="5" t="str">
        <f t="shared" si="5"/>
        <v>    FLUSHOT7, </v>
      </c>
      <c r="H115" s="5" t="str">
        <f t="shared" si="4"/>
        <v>    SUM(IF(FLUSHOT7 IS NULL, 1, 0)) AS FLUSHOT7_nullcount, </v>
      </c>
    </row>
    <row r="116">
      <c r="A116" s="1">
        <v>88.0</v>
      </c>
      <c r="B116" s="11" t="s">
        <v>253</v>
      </c>
      <c r="C116" s="2" t="s">
        <v>254</v>
      </c>
      <c r="D116" s="2" t="s">
        <v>255</v>
      </c>
      <c r="E116" s="1" t="s">
        <v>12</v>
      </c>
      <c r="F116" s="1" t="s">
        <v>13</v>
      </c>
      <c r="G116" s="5" t="str">
        <f t="shared" si="5"/>
        <v>    FLSHTMY3, </v>
      </c>
      <c r="H116" s="5" t="str">
        <f t="shared" si="4"/>
        <v>    SUM(IF(FLSHTMY3 IS NULL, 1, 0)) AS FLSHTMY3_nullcount, </v>
      </c>
    </row>
    <row r="117" hidden="1">
      <c r="A117" s="1"/>
      <c r="B117" s="1" t="s">
        <v>256</v>
      </c>
      <c r="C117" s="2" t="s">
        <v>257</v>
      </c>
      <c r="D117" s="2" t="s">
        <v>80</v>
      </c>
      <c r="E117" s="1" t="s">
        <v>12</v>
      </c>
      <c r="F117" s="1" t="s">
        <v>8</v>
      </c>
      <c r="G117" s="5" t="str">
        <f t="shared" ref="G117:G119" si="6">concat(concat("DROP COLUMN IF EXISTS ", B117), ",")</f>
        <v>DROP COLUMN IF EXISTS HIVTST7,</v>
      </c>
    </row>
    <row r="118" hidden="1">
      <c r="A118" s="1"/>
      <c r="B118" s="1" t="s">
        <v>258</v>
      </c>
      <c r="C118" s="2" t="s">
        <v>259</v>
      </c>
      <c r="D118" s="2" t="s">
        <v>260</v>
      </c>
      <c r="E118" s="1" t="s">
        <v>12</v>
      </c>
      <c r="F118" s="1" t="s">
        <v>8</v>
      </c>
      <c r="G118" s="5" t="str">
        <f t="shared" si="6"/>
        <v>DROP COLUMN IF EXISTS HIVTSTD3,</v>
      </c>
    </row>
    <row r="119" hidden="1">
      <c r="A119" s="1"/>
      <c r="B119" s="1" t="s">
        <v>261</v>
      </c>
      <c r="C119" s="2" t="s">
        <v>262</v>
      </c>
      <c r="D119" s="2" t="s">
        <v>80</v>
      </c>
      <c r="E119" s="1" t="s">
        <v>12</v>
      </c>
      <c r="F119" s="1" t="s">
        <v>8</v>
      </c>
      <c r="G119" s="5" t="str">
        <f t="shared" si="6"/>
        <v>DROP COLUMN IF EXISTS HIVRISK5,</v>
      </c>
    </row>
    <row r="120">
      <c r="A120" s="1">
        <v>89.0</v>
      </c>
      <c r="B120" s="11" t="s">
        <v>263</v>
      </c>
      <c r="C120" s="2" t="s">
        <v>264</v>
      </c>
      <c r="D120" s="2" t="s">
        <v>80</v>
      </c>
      <c r="E120" s="1" t="s">
        <v>12</v>
      </c>
      <c r="F120" s="1" t="s">
        <v>13</v>
      </c>
      <c r="G120" s="5" t="str">
        <f t="shared" ref="G120:G131" si="7">concat("    ", concat(B120, ", "))</f>
        <v>    PNEUVAC4, </v>
      </c>
      <c r="H120" s="5" t="str">
        <f t="shared" ref="H120:H131" si="8">CONCAT(CONCAT(CONCAT(CONCAT("    SUM(IF(",B120), " IS NULL, 1, 0)) AS "), B120), "_nullcount, ")</f>
        <v>    SUM(IF(PNEUVAC4 IS NULL, 1, 0)) AS PNEUVAC4_nullcount, </v>
      </c>
    </row>
    <row r="121">
      <c r="A121" s="1">
        <v>90.0</v>
      </c>
      <c r="B121" s="11" t="s">
        <v>265</v>
      </c>
      <c r="C121" s="2" t="s">
        <v>266</v>
      </c>
      <c r="D121" s="2" t="s">
        <v>267</v>
      </c>
      <c r="E121" s="1" t="s">
        <v>12</v>
      </c>
      <c r="F121" s="1" t="s">
        <v>13</v>
      </c>
      <c r="G121" s="5" t="str">
        <f t="shared" si="7"/>
        <v>    TETANUS1, </v>
      </c>
      <c r="H121" s="5" t="str">
        <f t="shared" si="8"/>
        <v>    SUM(IF(TETANUS1 IS NULL, 1, 0)) AS TETANUS1_nullcount, </v>
      </c>
    </row>
    <row r="122">
      <c r="A122" s="1">
        <v>91.0</v>
      </c>
      <c r="B122" s="1" t="s">
        <v>268</v>
      </c>
      <c r="C122" s="2" t="s">
        <v>269</v>
      </c>
      <c r="D122" s="2" t="s">
        <v>270</v>
      </c>
      <c r="E122" s="1" t="s">
        <v>12</v>
      </c>
      <c r="F122" s="1" t="s">
        <v>13</v>
      </c>
      <c r="G122" s="5" t="str">
        <f t="shared" si="7"/>
        <v>    COVIDPOS, </v>
      </c>
      <c r="H122" s="5" t="str">
        <f t="shared" si="8"/>
        <v>    SUM(IF(COVIDPOS IS NULL, 1, 0)) AS COVIDPOS_nullcount, </v>
      </c>
    </row>
    <row r="123">
      <c r="A123" s="1">
        <v>92.0</v>
      </c>
      <c r="B123" s="1" t="s">
        <v>271</v>
      </c>
      <c r="C123" s="2" t="s">
        <v>272</v>
      </c>
      <c r="D123" s="2" t="s">
        <v>80</v>
      </c>
      <c r="E123" s="1" t="s">
        <v>12</v>
      </c>
      <c r="F123" s="1" t="s">
        <v>13</v>
      </c>
      <c r="G123" s="5" t="str">
        <f t="shared" si="7"/>
        <v>    COVIDSMP, </v>
      </c>
      <c r="H123" s="5" t="str">
        <f t="shared" si="8"/>
        <v>    SUM(IF(COVIDSMP IS NULL, 1, 0)) AS COVIDSMP_nullcount, </v>
      </c>
    </row>
    <row r="124">
      <c r="A124" s="1">
        <v>93.0</v>
      </c>
      <c r="B124" s="1" t="s">
        <v>273</v>
      </c>
      <c r="C124" s="2" t="s">
        <v>274</v>
      </c>
      <c r="D124" s="2" t="s">
        <v>275</v>
      </c>
      <c r="E124" s="1" t="s">
        <v>12</v>
      </c>
      <c r="F124" s="1" t="s">
        <v>13</v>
      </c>
      <c r="G124" s="5" t="str">
        <f t="shared" si="7"/>
        <v>    COVIDPRM, </v>
      </c>
      <c r="H124" s="5" t="str">
        <f t="shared" si="8"/>
        <v>    SUM(IF(COVIDPRM IS NULL, 1, 0)) AS COVIDPRM_nullcount, </v>
      </c>
    </row>
    <row r="125">
      <c r="A125" s="1">
        <v>94.0</v>
      </c>
      <c r="B125" s="12" t="s">
        <v>276</v>
      </c>
      <c r="C125" s="2" t="s">
        <v>277</v>
      </c>
      <c r="D125" s="2" t="s">
        <v>278</v>
      </c>
      <c r="E125" s="1" t="s">
        <v>12</v>
      </c>
      <c r="F125" s="1" t="s">
        <v>13</v>
      </c>
      <c r="G125" s="5" t="str">
        <f t="shared" si="7"/>
        <v>    PDIABTS1, </v>
      </c>
      <c r="H125" s="5" t="str">
        <f t="shared" si="8"/>
        <v>    SUM(IF(PDIABTS1 IS NULL, 1, 0)) AS PDIABTS1_nullcount, </v>
      </c>
    </row>
    <row r="126">
      <c r="A126" s="1">
        <v>95.0</v>
      </c>
      <c r="B126" s="12" t="s">
        <v>279</v>
      </c>
      <c r="C126" s="2" t="s">
        <v>280</v>
      </c>
      <c r="D126" s="2" t="s">
        <v>281</v>
      </c>
      <c r="E126" s="1" t="s">
        <v>12</v>
      </c>
      <c r="F126" s="1" t="s">
        <v>13</v>
      </c>
      <c r="G126" s="5" t="str">
        <f t="shared" si="7"/>
        <v>    PREDIAB2, </v>
      </c>
      <c r="H126" s="5" t="str">
        <f t="shared" si="8"/>
        <v>    SUM(IF(PREDIAB2 IS NULL, 1, 0)) AS PREDIAB2_nullcount, </v>
      </c>
    </row>
    <row r="127">
      <c r="A127" s="1">
        <v>96.0</v>
      </c>
      <c r="B127" s="12" t="s">
        <v>282</v>
      </c>
      <c r="C127" s="2" t="s">
        <v>283</v>
      </c>
      <c r="D127" s="2" t="s">
        <v>284</v>
      </c>
      <c r="E127" s="1" t="s">
        <v>12</v>
      </c>
      <c r="F127" s="1" t="s">
        <v>13</v>
      </c>
      <c r="G127" s="5" t="str">
        <f t="shared" si="7"/>
        <v>    DIABTYPE, </v>
      </c>
      <c r="H127" s="5" t="str">
        <f t="shared" si="8"/>
        <v>    SUM(IF(DIABTYPE IS NULL, 1, 0)) AS DIABTYPE_nullcount, </v>
      </c>
    </row>
    <row r="128">
      <c r="A128" s="1">
        <v>97.0</v>
      </c>
      <c r="B128" s="12" t="s">
        <v>285</v>
      </c>
      <c r="C128" s="2" t="s">
        <v>286</v>
      </c>
      <c r="D128" s="2" t="s">
        <v>287</v>
      </c>
      <c r="E128" s="1" t="s">
        <v>12</v>
      </c>
      <c r="F128" s="1" t="s">
        <v>13</v>
      </c>
      <c r="G128" s="5" t="str">
        <f t="shared" si="7"/>
        <v>    INSULIN1, </v>
      </c>
      <c r="H128" s="5" t="str">
        <f t="shared" si="8"/>
        <v>    SUM(IF(INSULIN1 IS NULL, 1, 0)) AS INSULIN1_nullcount, </v>
      </c>
    </row>
    <row r="129">
      <c r="A129" s="1">
        <v>98.0</v>
      </c>
      <c r="B129" s="12" t="s">
        <v>288</v>
      </c>
      <c r="C129" s="2" t="s">
        <v>289</v>
      </c>
      <c r="D129" s="2" t="s">
        <v>290</v>
      </c>
      <c r="E129" s="1" t="s">
        <v>12</v>
      </c>
      <c r="F129" s="1" t="s">
        <v>13</v>
      </c>
      <c r="G129" s="5" t="str">
        <f t="shared" si="7"/>
        <v>    CHKHEMO3, </v>
      </c>
      <c r="H129" s="5" t="str">
        <f t="shared" si="8"/>
        <v>    SUM(IF(CHKHEMO3 IS NULL, 1, 0)) AS CHKHEMO3_nullcount, </v>
      </c>
    </row>
    <row r="130">
      <c r="A130" s="1">
        <v>99.0</v>
      </c>
      <c r="B130" s="12" t="s">
        <v>291</v>
      </c>
      <c r="C130" s="2" t="s">
        <v>292</v>
      </c>
      <c r="D130" s="2" t="s">
        <v>293</v>
      </c>
      <c r="E130" s="1" t="s">
        <v>12</v>
      </c>
      <c r="F130" s="1" t="s">
        <v>13</v>
      </c>
      <c r="G130" s="5" t="str">
        <f t="shared" si="7"/>
        <v>    EYEEXAM1, </v>
      </c>
      <c r="H130" s="5" t="str">
        <f t="shared" si="8"/>
        <v>    SUM(IF(EYEEXAM1 IS NULL, 1, 0)) AS EYEEXAM1_nullcount, </v>
      </c>
    </row>
    <row r="131">
      <c r="A131" s="1">
        <v>100.0</v>
      </c>
      <c r="B131" s="12" t="s">
        <v>294</v>
      </c>
      <c r="C131" s="2" t="s">
        <v>295</v>
      </c>
      <c r="D131" s="2" t="s">
        <v>293</v>
      </c>
      <c r="E131" s="1" t="s">
        <v>12</v>
      </c>
      <c r="F131" s="1" t="s">
        <v>13</v>
      </c>
      <c r="G131" s="5" t="str">
        <f t="shared" si="7"/>
        <v>    DIABEYE1, </v>
      </c>
      <c r="H131" s="5" t="str">
        <f t="shared" si="8"/>
        <v>    SUM(IF(DIABEYE1 IS NULL, 1, 0)) AS DIABEYE1_nullcount, </v>
      </c>
    </row>
    <row r="132" hidden="1">
      <c r="A132" s="1"/>
      <c r="B132" s="1" t="s">
        <v>296</v>
      </c>
      <c r="C132" s="2" t="s">
        <v>297</v>
      </c>
      <c r="D132" s="2" t="s">
        <v>298</v>
      </c>
      <c r="E132" s="1" t="s">
        <v>12</v>
      </c>
      <c r="F132" s="1" t="s">
        <v>8</v>
      </c>
      <c r="G132" s="5" t="str">
        <f t="shared" ref="G132:G134" si="9">concat(concat("DROP COLUMN IF EXISTS ", B132), ",")</f>
        <v>DROP COLUMN IF EXISTS TOLDCFS,</v>
      </c>
    </row>
    <row r="133" hidden="1">
      <c r="A133" s="1"/>
      <c r="B133" s="1" t="s">
        <v>299</v>
      </c>
      <c r="C133" s="2" t="s">
        <v>300</v>
      </c>
      <c r="D133" s="2" t="s">
        <v>298</v>
      </c>
      <c r="E133" s="1" t="s">
        <v>12</v>
      </c>
      <c r="F133" s="1" t="s">
        <v>8</v>
      </c>
      <c r="G133" s="5" t="str">
        <f t="shared" si="9"/>
        <v>DROP COLUMN IF EXISTS HAVECFS,</v>
      </c>
    </row>
    <row r="134" hidden="1">
      <c r="A134" s="1"/>
      <c r="B134" s="1" t="s">
        <v>301</v>
      </c>
      <c r="C134" s="2" t="s">
        <v>302</v>
      </c>
      <c r="D134" s="2" t="s">
        <v>303</v>
      </c>
      <c r="E134" s="1" t="s">
        <v>12</v>
      </c>
      <c r="F134" s="1" t="s">
        <v>8</v>
      </c>
      <c r="G134" s="5" t="str">
        <f t="shared" si="9"/>
        <v>DROP COLUMN IF EXISTS WORKCFS,</v>
      </c>
    </row>
    <row r="135">
      <c r="A135" s="1">
        <v>101.0</v>
      </c>
      <c r="B135" s="12" t="s">
        <v>304</v>
      </c>
      <c r="C135" s="2" t="s">
        <v>305</v>
      </c>
      <c r="D135" s="2" t="s">
        <v>278</v>
      </c>
      <c r="E135" s="1" t="s">
        <v>12</v>
      </c>
      <c r="F135" s="1" t="s">
        <v>13</v>
      </c>
      <c r="G135" s="5" t="str">
        <f t="shared" ref="G135:G167" si="10">concat("    ", concat(B135, ", "))</f>
        <v>    DIABEDU1, </v>
      </c>
      <c r="H135" s="5" t="str">
        <f t="shared" ref="H135:H167" si="11">CONCAT(CONCAT(CONCAT(CONCAT("    SUM(IF(",B135), " IS NULL, 1, 0)) AS "), B135), "_nullcount, ")</f>
        <v>    SUM(IF(DIABEDU1 IS NULL, 1, 0)) AS DIABEDU1_nullcount, </v>
      </c>
    </row>
    <row r="136">
      <c r="A136" s="1">
        <v>102.0</v>
      </c>
      <c r="B136" s="12" t="s">
        <v>306</v>
      </c>
      <c r="C136" s="2" t="s">
        <v>307</v>
      </c>
      <c r="D136" s="2" t="s">
        <v>80</v>
      </c>
      <c r="E136" s="1" t="s">
        <v>12</v>
      </c>
      <c r="F136" s="1" t="s">
        <v>13</v>
      </c>
      <c r="G136" s="5" t="str">
        <f t="shared" si="10"/>
        <v>    FEETSORE, </v>
      </c>
      <c r="H136" s="5" t="str">
        <f t="shared" si="11"/>
        <v>    SUM(IF(FEETSORE IS NULL, 1, 0)) AS FEETSORE_nullcount, </v>
      </c>
    </row>
    <row r="137">
      <c r="A137" s="1">
        <v>103.0</v>
      </c>
      <c r="B137" s="11" t="s">
        <v>308</v>
      </c>
      <c r="C137" s="2" t="s">
        <v>309</v>
      </c>
      <c r="D137" s="2" t="s">
        <v>310</v>
      </c>
      <c r="E137" s="1" t="s">
        <v>12</v>
      </c>
      <c r="F137" s="1" t="s">
        <v>13</v>
      </c>
      <c r="G137" s="5" t="str">
        <f t="shared" si="10"/>
        <v>    IMFVPLA3, </v>
      </c>
      <c r="H137" s="5" t="str">
        <f t="shared" si="11"/>
        <v>    SUM(IF(IMFVPLA3 IS NULL, 1, 0)) AS IMFVPLA3_nullcount, </v>
      </c>
    </row>
    <row r="138">
      <c r="A138" s="1">
        <v>104.0</v>
      </c>
      <c r="B138" s="11" t="s">
        <v>311</v>
      </c>
      <c r="C138" s="2" t="s">
        <v>312</v>
      </c>
      <c r="D138" s="2" t="s">
        <v>313</v>
      </c>
      <c r="E138" s="1" t="s">
        <v>12</v>
      </c>
      <c r="F138" s="1" t="s">
        <v>13</v>
      </c>
      <c r="G138" s="5" t="str">
        <f t="shared" si="10"/>
        <v>    HPVADVC4, </v>
      </c>
      <c r="H138" s="5" t="str">
        <f t="shared" si="11"/>
        <v>    SUM(IF(HPVADVC4 IS NULL, 1, 0)) AS HPVADVC4_nullcount, </v>
      </c>
    </row>
    <row r="139">
      <c r="A139" s="1">
        <v>105.0</v>
      </c>
      <c r="B139" s="11" t="s">
        <v>314</v>
      </c>
      <c r="C139" s="2" t="s">
        <v>315</v>
      </c>
      <c r="D139" s="2" t="s">
        <v>316</v>
      </c>
      <c r="E139" s="1" t="s">
        <v>12</v>
      </c>
      <c r="F139" s="1" t="s">
        <v>13</v>
      </c>
      <c r="G139" s="5" t="str">
        <f t="shared" si="10"/>
        <v>    HPVADSHT, </v>
      </c>
      <c r="H139" s="5" t="str">
        <f t="shared" si="11"/>
        <v>    SUM(IF(HPVADSHT IS NULL, 1, 0)) AS HPVADSHT_nullcount, </v>
      </c>
    </row>
    <row r="140">
      <c r="A140" s="1">
        <v>106.0</v>
      </c>
      <c r="B140" s="11" t="s">
        <v>317</v>
      </c>
      <c r="C140" s="2" t="s">
        <v>318</v>
      </c>
      <c r="D140" s="2" t="s">
        <v>80</v>
      </c>
      <c r="E140" s="1" t="s">
        <v>12</v>
      </c>
      <c r="F140" s="1" t="s">
        <v>13</v>
      </c>
      <c r="G140" s="5" t="str">
        <f t="shared" si="10"/>
        <v>    SHINGLE2, </v>
      </c>
      <c r="H140" s="5" t="str">
        <f t="shared" si="11"/>
        <v>    SUM(IF(SHINGLE2 IS NULL, 1, 0)) AS SHINGLE2_nullcount, </v>
      </c>
    </row>
    <row r="141">
      <c r="A141" s="1">
        <v>107.0</v>
      </c>
      <c r="B141" s="11" t="s">
        <v>319</v>
      </c>
      <c r="C141" s="2" t="s">
        <v>320</v>
      </c>
      <c r="D141" s="2" t="s">
        <v>313</v>
      </c>
      <c r="E141" s="1" t="s">
        <v>12</v>
      </c>
      <c r="F141" s="1" t="s">
        <v>13</v>
      </c>
      <c r="G141" s="5" t="str">
        <f t="shared" si="10"/>
        <v>    COVIDVA1, </v>
      </c>
      <c r="H141" s="5" t="str">
        <f t="shared" si="11"/>
        <v>    SUM(IF(COVIDVA1 IS NULL, 1, 0)) AS COVIDVA1_nullcount, </v>
      </c>
    </row>
    <row r="142">
      <c r="A142" s="1">
        <v>108.0</v>
      </c>
      <c r="B142" s="11" t="s">
        <v>321</v>
      </c>
      <c r="C142" s="2" t="s">
        <v>322</v>
      </c>
      <c r="D142" s="2" t="s">
        <v>323</v>
      </c>
      <c r="E142" s="1" t="s">
        <v>12</v>
      </c>
      <c r="F142" s="1" t="s">
        <v>13</v>
      </c>
      <c r="G142" s="5" t="str">
        <f t="shared" si="10"/>
        <v>    COVACGET, </v>
      </c>
      <c r="H142" s="5" t="str">
        <f t="shared" si="11"/>
        <v>    SUM(IF(COVACGET IS NULL, 1, 0)) AS COVACGET_nullcount, </v>
      </c>
    </row>
    <row r="143">
      <c r="A143" s="1">
        <v>109.0</v>
      </c>
      <c r="B143" s="11" t="s">
        <v>324</v>
      </c>
      <c r="C143" s="2" t="s">
        <v>325</v>
      </c>
      <c r="D143" s="2" t="s">
        <v>326</v>
      </c>
      <c r="E143" s="1" t="s">
        <v>12</v>
      </c>
      <c r="F143" s="1" t="s">
        <v>13</v>
      </c>
      <c r="G143" s="5" t="str">
        <f t="shared" si="10"/>
        <v>    COVIDNU1, </v>
      </c>
      <c r="H143" s="5" t="str">
        <f t="shared" si="11"/>
        <v>    SUM(IF(COVIDNU1 IS NULL, 1, 0)) AS COVIDNU1_nullcount, </v>
      </c>
    </row>
    <row r="144">
      <c r="A144" s="1">
        <v>110.0</v>
      </c>
      <c r="B144" s="11" t="s">
        <v>327</v>
      </c>
      <c r="C144" s="2" t="s">
        <v>328</v>
      </c>
      <c r="D144" s="2" t="s">
        <v>329</v>
      </c>
      <c r="E144" s="1" t="s">
        <v>12</v>
      </c>
      <c r="F144" s="1" t="s">
        <v>13</v>
      </c>
      <c r="G144" s="5" t="str">
        <f t="shared" si="10"/>
        <v>    COVIDINT, </v>
      </c>
      <c r="H144" s="5" t="str">
        <f t="shared" si="11"/>
        <v>    SUM(IF(COVIDINT IS NULL, 1, 0)) AS COVIDINT_nullcount, </v>
      </c>
    </row>
    <row r="145">
      <c r="A145" s="1">
        <v>111.0</v>
      </c>
      <c r="B145" s="11" t="s">
        <v>330</v>
      </c>
      <c r="C145" s="2" t="s">
        <v>331</v>
      </c>
      <c r="D145" s="2" t="s">
        <v>255</v>
      </c>
      <c r="E145" s="1" t="s">
        <v>12</v>
      </c>
      <c r="F145" s="1" t="s">
        <v>13</v>
      </c>
      <c r="G145" s="5" t="str">
        <f t="shared" si="10"/>
        <v>    COVIDFS1, </v>
      </c>
      <c r="H145" s="5" t="str">
        <f t="shared" si="11"/>
        <v>    SUM(IF(COVIDFS1 IS NULL, 1, 0)) AS COVIDFS1_nullcount, </v>
      </c>
    </row>
    <row r="146">
      <c r="A146" s="1">
        <v>112.0</v>
      </c>
      <c r="B146" s="11" t="s">
        <v>332</v>
      </c>
      <c r="C146" s="2" t="s">
        <v>333</v>
      </c>
      <c r="D146" s="2" t="s">
        <v>255</v>
      </c>
      <c r="E146" s="1" t="s">
        <v>12</v>
      </c>
      <c r="F146" s="1" t="s">
        <v>13</v>
      </c>
      <c r="G146" s="5" t="str">
        <f t="shared" si="10"/>
        <v>    COVIDSE1, </v>
      </c>
      <c r="H146" s="5" t="str">
        <f t="shared" si="11"/>
        <v>    SUM(IF(COVIDSE1 IS NULL, 1, 0)) AS COVIDSE1_nullcount, </v>
      </c>
    </row>
    <row r="147">
      <c r="A147" s="1">
        <v>113.0</v>
      </c>
      <c r="B147" s="1" t="s">
        <v>334</v>
      </c>
      <c r="C147" s="2" t="s">
        <v>335</v>
      </c>
      <c r="D147" s="2" t="s">
        <v>287</v>
      </c>
      <c r="E147" s="1" t="s">
        <v>12</v>
      </c>
      <c r="F147" s="1" t="s">
        <v>13</v>
      </c>
      <c r="G147" s="5" t="str">
        <f t="shared" si="10"/>
        <v>    COPDCOGH, </v>
      </c>
      <c r="H147" s="5" t="str">
        <f t="shared" si="11"/>
        <v>    SUM(IF(COPDCOGH IS NULL, 1, 0)) AS COPDCOGH_nullcount, </v>
      </c>
    </row>
    <row r="148">
      <c r="A148" s="1">
        <v>114.0</v>
      </c>
      <c r="B148" s="1" t="s">
        <v>336</v>
      </c>
      <c r="C148" s="2" t="s">
        <v>337</v>
      </c>
      <c r="D148" s="2" t="s">
        <v>287</v>
      </c>
      <c r="E148" s="1" t="s">
        <v>12</v>
      </c>
      <c r="F148" s="1" t="s">
        <v>13</v>
      </c>
      <c r="G148" s="5" t="str">
        <f t="shared" si="10"/>
        <v>    COPDFLEM, </v>
      </c>
      <c r="H148" s="5" t="str">
        <f t="shared" si="11"/>
        <v>    SUM(IF(COPDFLEM IS NULL, 1, 0)) AS COPDFLEM_nullcount, </v>
      </c>
    </row>
    <row r="149">
      <c r="A149" s="1">
        <v>115.0</v>
      </c>
      <c r="B149" s="1" t="s">
        <v>338</v>
      </c>
      <c r="C149" s="2" t="s">
        <v>339</v>
      </c>
      <c r="D149" s="2" t="s">
        <v>287</v>
      </c>
      <c r="E149" s="1" t="s">
        <v>12</v>
      </c>
      <c r="F149" s="1" t="s">
        <v>13</v>
      </c>
      <c r="G149" s="5" t="str">
        <f t="shared" si="10"/>
        <v>    COPDBRTH, </v>
      </c>
      <c r="H149" s="5" t="str">
        <f t="shared" si="11"/>
        <v>    SUM(IF(COPDBRTH IS NULL, 1, 0)) AS COPDBRTH_nullcount, </v>
      </c>
    </row>
    <row r="150">
      <c r="A150" s="1">
        <v>116.0</v>
      </c>
      <c r="B150" s="1" t="s">
        <v>340</v>
      </c>
      <c r="C150" s="2" t="s">
        <v>341</v>
      </c>
      <c r="D150" s="2" t="s">
        <v>287</v>
      </c>
      <c r="E150" s="1" t="s">
        <v>12</v>
      </c>
      <c r="F150" s="1" t="s">
        <v>13</v>
      </c>
      <c r="G150" s="5" t="str">
        <f t="shared" si="10"/>
        <v>    COPDBTST, </v>
      </c>
      <c r="H150" s="5" t="str">
        <f t="shared" si="11"/>
        <v>    SUM(IF(COPDBTST IS NULL, 1, 0)) AS COPDBTST_nullcount, </v>
      </c>
    </row>
    <row r="151">
      <c r="A151" s="1">
        <v>117.0</v>
      </c>
      <c r="B151" s="1" t="s">
        <v>342</v>
      </c>
      <c r="C151" s="2" t="s">
        <v>343</v>
      </c>
      <c r="D151" s="2" t="s">
        <v>344</v>
      </c>
      <c r="E151" s="1" t="s">
        <v>12</v>
      </c>
      <c r="F151" s="1" t="s">
        <v>13</v>
      </c>
      <c r="G151" s="5" t="str">
        <f t="shared" si="10"/>
        <v>    COPDSMOK, </v>
      </c>
      <c r="H151" s="5" t="str">
        <f t="shared" si="11"/>
        <v>    SUM(IF(COPDSMOK IS NULL, 1, 0)) AS COPDSMOK_nullcount, </v>
      </c>
    </row>
    <row r="152">
      <c r="A152" s="1">
        <v>118.0</v>
      </c>
      <c r="B152" s="10" t="s">
        <v>345</v>
      </c>
      <c r="C152" s="2" t="s">
        <v>346</v>
      </c>
      <c r="D152" s="2" t="s">
        <v>347</v>
      </c>
      <c r="E152" s="1" t="s">
        <v>12</v>
      </c>
      <c r="F152" s="1" t="s">
        <v>13</v>
      </c>
      <c r="G152" s="5" t="str">
        <f t="shared" si="10"/>
        <v>    CNCRDIFF, </v>
      </c>
      <c r="H152" s="5" t="str">
        <f t="shared" si="11"/>
        <v>    SUM(IF(CNCRDIFF IS NULL, 1, 0)) AS CNCRDIFF_nullcount, </v>
      </c>
    </row>
    <row r="153">
      <c r="A153" s="1">
        <v>119.0</v>
      </c>
      <c r="B153" s="10" t="s">
        <v>348</v>
      </c>
      <c r="C153" s="2" t="s">
        <v>349</v>
      </c>
      <c r="D153" s="2" t="s">
        <v>350</v>
      </c>
      <c r="E153" s="1" t="s">
        <v>12</v>
      </c>
      <c r="F153" s="1" t="s">
        <v>13</v>
      </c>
      <c r="G153" s="5" t="str">
        <f t="shared" si="10"/>
        <v>    CNCRAGE, </v>
      </c>
      <c r="H153" s="5" t="str">
        <f t="shared" si="11"/>
        <v>    SUM(IF(CNCRAGE IS NULL, 1, 0)) AS CNCRAGE_nullcount, </v>
      </c>
    </row>
    <row r="154">
      <c r="A154" s="1">
        <v>120.0</v>
      </c>
      <c r="B154" s="10" t="s">
        <v>351</v>
      </c>
      <c r="C154" s="2" t="s">
        <v>352</v>
      </c>
      <c r="D154" s="2" t="s">
        <v>353</v>
      </c>
      <c r="E154" s="1" t="s">
        <v>12</v>
      </c>
      <c r="F154" s="1" t="s">
        <v>13</v>
      </c>
      <c r="G154" s="5" t="str">
        <f t="shared" si="10"/>
        <v>    CNCRTYP2, </v>
      </c>
      <c r="H154" s="5" t="str">
        <f t="shared" si="11"/>
        <v>    SUM(IF(CNCRTYP2 IS NULL, 1, 0)) AS CNCRTYP2_nullcount, </v>
      </c>
    </row>
    <row r="155">
      <c r="A155" s="1">
        <v>121.0</v>
      </c>
      <c r="B155" s="10" t="s">
        <v>354</v>
      </c>
      <c r="C155" s="2" t="s">
        <v>355</v>
      </c>
      <c r="D155" s="2" t="s">
        <v>356</v>
      </c>
      <c r="E155" s="1" t="s">
        <v>12</v>
      </c>
      <c r="F155" s="1" t="s">
        <v>13</v>
      </c>
      <c r="G155" s="5" t="str">
        <f t="shared" si="10"/>
        <v>    CSRVTRT3, </v>
      </c>
      <c r="H155" s="5" t="str">
        <f t="shared" si="11"/>
        <v>    SUM(IF(CSRVTRT3 IS NULL, 1, 0)) AS CSRVTRT3_nullcount, </v>
      </c>
    </row>
    <row r="156">
      <c r="A156" s="1">
        <v>122.0</v>
      </c>
      <c r="B156" s="10" t="s">
        <v>357</v>
      </c>
      <c r="C156" s="2" t="s">
        <v>358</v>
      </c>
      <c r="D156" s="2" t="s">
        <v>359</v>
      </c>
      <c r="E156" s="1" t="s">
        <v>12</v>
      </c>
      <c r="F156" s="1" t="s">
        <v>13</v>
      </c>
      <c r="G156" s="5" t="str">
        <f t="shared" si="10"/>
        <v>    CSRVDOC1, </v>
      </c>
      <c r="H156" s="5" t="str">
        <f t="shared" si="11"/>
        <v>    SUM(IF(CSRVDOC1 IS NULL, 1, 0)) AS CSRVDOC1_nullcount, </v>
      </c>
    </row>
    <row r="157">
      <c r="A157" s="1">
        <v>123.0</v>
      </c>
      <c r="B157" s="10" t="s">
        <v>360</v>
      </c>
      <c r="C157" s="2" t="s">
        <v>361</v>
      </c>
      <c r="D157" s="2" t="s">
        <v>287</v>
      </c>
      <c r="E157" s="1" t="s">
        <v>12</v>
      </c>
      <c r="F157" s="1" t="s">
        <v>13</v>
      </c>
      <c r="G157" s="5" t="str">
        <f t="shared" si="10"/>
        <v>    CSRVSUM, </v>
      </c>
      <c r="H157" s="5" t="str">
        <f t="shared" si="11"/>
        <v>    SUM(IF(CSRVSUM IS NULL, 1, 0)) AS CSRVSUM_nullcount, </v>
      </c>
    </row>
    <row r="158">
      <c r="A158" s="1">
        <v>124.0</v>
      </c>
      <c r="B158" s="10" t="s">
        <v>362</v>
      </c>
      <c r="C158" s="2" t="s">
        <v>363</v>
      </c>
      <c r="D158" s="2" t="s">
        <v>287</v>
      </c>
      <c r="E158" s="1" t="s">
        <v>12</v>
      </c>
      <c r="F158" s="1" t="s">
        <v>13</v>
      </c>
      <c r="G158" s="5" t="str">
        <f t="shared" si="10"/>
        <v>    CSRVRTRN, </v>
      </c>
      <c r="H158" s="5" t="str">
        <f t="shared" si="11"/>
        <v>    SUM(IF(CSRVRTRN IS NULL, 1, 0)) AS CSRVRTRN_nullcount, </v>
      </c>
    </row>
    <row r="159">
      <c r="A159" s="1">
        <v>125.0</v>
      </c>
      <c r="B159" s="10" t="s">
        <v>364</v>
      </c>
      <c r="C159" s="2" t="s">
        <v>365</v>
      </c>
      <c r="D159" s="2" t="s">
        <v>287</v>
      </c>
      <c r="E159" s="1" t="s">
        <v>12</v>
      </c>
      <c r="F159" s="1" t="s">
        <v>13</v>
      </c>
      <c r="G159" s="5" t="str">
        <f t="shared" si="10"/>
        <v>    CSRVINST, </v>
      </c>
      <c r="H159" s="5" t="str">
        <f t="shared" si="11"/>
        <v>    SUM(IF(CSRVINST IS NULL, 1, 0)) AS CSRVINST_nullcount, </v>
      </c>
    </row>
    <row r="160">
      <c r="A160" s="1">
        <v>126.0</v>
      </c>
      <c r="B160" s="10" t="s">
        <v>366</v>
      </c>
      <c r="C160" s="2" t="s">
        <v>367</v>
      </c>
      <c r="D160" s="2" t="s">
        <v>287</v>
      </c>
      <c r="E160" s="1" t="s">
        <v>12</v>
      </c>
      <c r="F160" s="1" t="s">
        <v>13</v>
      </c>
      <c r="G160" s="5" t="str">
        <f t="shared" si="10"/>
        <v>    CSRVINSR, </v>
      </c>
      <c r="H160" s="5" t="str">
        <f t="shared" si="11"/>
        <v>    SUM(IF(CSRVINSR IS NULL, 1, 0)) AS CSRVINSR_nullcount, </v>
      </c>
    </row>
    <row r="161">
      <c r="A161" s="1">
        <v>127.0</v>
      </c>
      <c r="B161" s="10" t="s">
        <v>368</v>
      </c>
      <c r="C161" s="2" t="s">
        <v>369</v>
      </c>
      <c r="D161" s="2" t="s">
        <v>287</v>
      </c>
      <c r="E161" s="1" t="s">
        <v>12</v>
      </c>
      <c r="F161" s="1" t="s">
        <v>13</v>
      </c>
      <c r="G161" s="5" t="str">
        <f t="shared" si="10"/>
        <v>    CSRVDEIN, </v>
      </c>
      <c r="H161" s="5" t="str">
        <f t="shared" si="11"/>
        <v>    SUM(IF(CSRVDEIN IS NULL, 1, 0)) AS CSRVDEIN_nullcount, </v>
      </c>
    </row>
    <row r="162">
      <c r="A162" s="1">
        <v>128.0</v>
      </c>
      <c r="B162" s="10" t="s">
        <v>370</v>
      </c>
      <c r="C162" s="2" t="s">
        <v>371</v>
      </c>
      <c r="D162" s="2" t="s">
        <v>287</v>
      </c>
      <c r="E162" s="1" t="s">
        <v>12</v>
      </c>
      <c r="F162" s="1" t="s">
        <v>13</v>
      </c>
      <c r="G162" s="5" t="str">
        <f t="shared" si="10"/>
        <v>    CSRVCLIN, </v>
      </c>
      <c r="H162" s="5" t="str">
        <f t="shared" si="11"/>
        <v>    SUM(IF(CSRVCLIN IS NULL, 1, 0)) AS CSRVCLIN_nullcount, </v>
      </c>
    </row>
    <row r="163">
      <c r="A163" s="1">
        <v>129.0</v>
      </c>
      <c r="B163" s="10" t="s">
        <v>372</v>
      </c>
      <c r="C163" s="2" t="s">
        <v>373</v>
      </c>
      <c r="D163" s="2" t="s">
        <v>287</v>
      </c>
      <c r="E163" s="1" t="s">
        <v>12</v>
      </c>
      <c r="F163" s="1" t="s">
        <v>13</v>
      </c>
      <c r="G163" s="5" t="str">
        <f t="shared" si="10"/>
        <v>    CSRVPAIN, </v>
      </c>
      <c r="H163" s="5" t="str">
        <f t="shared" si="11"/>
        <v>    SUM(IF(CSRVPAIN IS NULL, 1, 0)) AS CSRVPAIN_nullcount, </v>
      </c>
    </row>
    <row r="164">
      <c r="A164" s="1">
        <v>130.0</v>
      </c>
      <c r="B164" s="10" t="s">
        <v>374</v>
      </c>
      <c r="C164" s="2" t="s">
        <v>375</v>
      </c>
      <c r="D164" s="2" t="s">
        <v>376</v>
      </c>
      <c r="E164" s="1" t="s">
        <v>12</v>
      </c>
      <c r="F164" s="1" t="s">
        <v>13</v>
      </c>
      <c r="G164" s="5" t="str">
        <f t="shared" si="10"/>
        <v>    CSRVCTL2, </v>
      </c>
      <c r="H164" s="5" t="str">
        <f t="shared" si="11"/>
        <v>    SUM(IF(CSRVCTL2 IS NULL, 1, 0)) AS CSRVCTL2_nullcount, </v>
      </c>
    </row>
    <row r="165">
      <c r="A165" s="1">
        <v>131.0</v>
      </c>
      <c r="B165" s="10" t="s">
        <v>377</v>
      </c>
      <c r="C165" s="2" t="s">
        <v>378</v>
      </c>
      <c r="D165" s="2" t="s">
        <v>287</v>
      </c>
      <c r="E165" s="1" t="s">
        <v>12</v>
      </c>
      <c r="F165" s="1" t="s">
        <v>13</v>
      </c>
      <c r="G165" s="5" t="str">
        <f t="shared" si="10"/>
        <v>    PSATEST1, </v>
      </c>
      <c r="H165" s="5" t="str">
        <f t="shared" si="11"/>
        <v>    SUM(IF(PSATEST1 IS NULL, 1, 0)) AS PSATEST1_nullcount, </v>
      </c>
    </row>
    <row r="166">
      <c r="A166" s="1">
        <v>132.0</v>
      </c>
      <c r="B166" s="10" t="s">
        <v>379</v>
      </c>
      <c r="C166" s="2" t="s">
        <v>380</v>
      </c>
      <c r="D166" s="2" t="s">
        <v>207</v>
      </c>
      <c r="E166" s="1" t="s">
        <v>12</v>
      </c>
      <c r="F166" s="1" t="s">
        <v>13</v>
      </c>
      <c r="G166" s="5" t="str">
        <f t="shared" si="10"/>
        <v>    PSATIME1, </v>
      </c>
      <c r="H166" s="5" t="str">
        <f t="shared" si="11"/>
        <v>    SUM(IF(PSATIME1 IS NULL, 1, 0)) AS PSATIME1_nullcount, </v>
      </c>
    </row>
    <row r="167">
      <c r="A167" s="1">
        <v>133.0</v>
      </c>
      <c r="B167" s="10" t="s">
        <v>381</v>
      </c>
      <c r="C167" s="2" t="s">
        <v>382</v>
      </c>
      <c r="D167" s="2" t="s">
        <v>383</v>
      </c>
      <c r="E167" s="1" t="s">
        <v>12</v>
      </c>
      <c r="F167" s="1" t="s">
        <v>13</v>
      </c>
      <c r="G167" s="5" t="str">
        <f t="shared" si="10"/>
        <v>    PCPSARS2, </v>
      </c>
      <c r="H167" s="5" t="str">
        <f t="shared" si="11"/>
        <v>    SUM(IF(PCPSARS2 IS NULL, 1, 0)) AS PCPSARS2_nullcount, </v>
      </c>
    </row>
    <row r="168" hidden="1">
      <c r="A168" s="13"/>
      <c r="B168" s="13" t="s">
        <v>384</v>
      </c>
      <c r="C168" s="2" t="s">
        <v>385</v>
      </c>
      <c r="D168" s="2" t="s">
        <v>287</v>
      </c>
      <c r="E168" s="1" t="s">
        <v>12</v>
      </c>
      <c r="F168" s="1" t="s">
        <v>8</v>
      </c>
      <c r="G168" s="5" t="str">
        <f t="shared" ref="G168:G182" si="12">concat(concat("DROP COLUMN IF EXISTS ", B168), ",")</f>
        <v>DROP COLUMN IF EXISTS CIMEMLOS,</v>
      </c>
    </row>
    <row r="169" hidden="1">
      <c r="A169" s="13"/>
      <c r="B169" s="13" t="s">
        <v>386</v>
      </c>
      <c r="C169" s="2" t="s">
        <v>387</v>
      </c>
      <c r="D169" s="2" t="s">
        <v>388</v>
      </c>
      <c r="E169" s="1" t="s">
        <v>12</v>
      </c>
      <c r="F169" s="1" t="s">
        <v>8</v>
      </c>
      <c r="G169" s="5" t="str">
        <f t="shared" si="12"/>
        <v>DROP COLUMN IF EXISTS CDHOUSE,</v>
      </c>
    </row>
    <row r="170" hidden="1">
      <c r="A170" s="13"/>
      <c r="B170" s="13" t="s">
        <v>389</v>
      </c>
      <c r="C170" s="2" t="s">
        <v>390</v>
      </c>
      <c r="D170" s="2" t="s">
        <v>391</v>
      </c>
      <c r="E170" s="1" t="s">
        <v>12</v>
      </c>
      <c r="F170" s="1" t="s">
        <v>8</v>
      </c>
      <c r="G170" s="5" t="str">
        <f t="shared" si="12"/>
        <v>DROP COLUMN IF EXISTS CDASSIST,</v>
      </c>
    </row>
    <row r="171" hidden="1">
      <c r="A171" s="13"/>
      <c r="B171" s="13" t="s">
        <v>392</v>
      </c>
      <c r="C171" s="2" t="s">
        <v>393</v>
      </c>
      <c r="D171" s="2" t="s">
        <v>391</v>
      </c>
      <c r="E171" s="1" t="s">
        <v>12</v>
      </c>
      <c r="F171" s="1" t="s">
        <v>8</v>
      </c>
      <c r="G171" s="5" t="str">
        <f t="shared" si="12"/>
        <v>DROP COLUMN IF EXISTS CDHELP,</v>
      </c>
    </row>
    <row r="172" hidden="1">
      <c r="A172" s="13"/>
      <c r="B172" s="13" t="s">
        <v>394</v>
      </c>
      <c r="C172" s="2" t="s">
        <v>395</v>
      </c>
      <c r="D172" s="2" t="s">
        <v>391</v>
      </c>
      <c r="E172" s="1" t="s">
        <v>12</v>
      </c>
      <c r="F172" s="1" t="s">
        <v>8</v>
      </c>
      <c r="G172" s="5" t="str">
        <f t="shared" si="12"/>
        <v>DROP COLUMN IF EXISTS CDSOCIAL,</v>
      </c>
    </row>
    <row r="173" hidden="1">
      <c r="A173" s="13"/>
      <c r="B173" s="13" t="s">
        <v>396</v>
      </c>
      <c r="C173" s="2" t="s">
        <v>397</v>
      </c>
      <c r="D173" s="2" t="s">
        <v>287</v>
      </c>
      <c r="E173" s="1" t="s">
        <v>12</v>
      </c>
      <c r="F173" s="1" t="s">
        <v>8</v>
      </c>
      <c r="G173" s="5" t="str">
        <f t="shared" si="12"/>
        <v>DROP COLUMN IF EXISTS CDDISCUS,</v>
      </c>
    </row>
    <row r="174" hidden="1">
      <c r="A174" s="13"/>
      <c r="B174" s="13" t="s">
        <v>398</v>
      </c>
      <c r="C174" s="2" t="s">
        <v>399</v>
      </c>
      <c r="D174" s="2" t="s">
        <v>400</v>
      </c>
      <c r="E174" s="1" t="s">
        <v>12</v>
      </c>
      <c r="F174" s="1" t="s">
        <v>8</v>
      </c>
      <c r="G174" s="5" t="str">
        <f t="shared" si="12"/>
        <v>DROP COLUMN IF EXISTS CAREGIV1,</v>
      </c>
    </row>
    <row r="175" hidden="1">
      <c r="A175" s="13"/>
      <c r="B175" s="13" t="s">
        <v>401</v>
      </c>
      <c r="C175" s="2" t="s">
        <v>402</v>
      </c>
      <c r="D175" s="2" t="s">
        <v>403</v>
      </c>
      <c r="E175" s="1" t="s">
        <v>12</v>
      </c>
      <c r="F175" s="1" t="s">
        <v>8</v>
      </c>
      <c r="G175" s="5" t="str">
        <f t="shared" si="12"/>
        <v>DROP COLUMN IF EXISTS CRGVREL4,</v>
      </c>
    </row>
    <row r="176" hidden="1">
      <c r="A176" s="13"/>
      <c r="B176" s="13" t="s">
        <v>404</v>
      </c>
      <c r="C176" s="2" t="s">
        <v>405</v>
      </c>
      <c r="D176" s="2" t="s">
        <v>406</v>
      </c>
      <c r="E176" s="1" t="s">
        <v>12</v>
      </c>
      <c r="F176" s="1" t="s">
        <v>8</v>
      </c>
      <c r="G176" s="5" t="str">
        <f t="shared" si="12"/>
        <v>DROP COLUMN IF EXISTS CRGVLNG1,</v>
      </c>
    </row>
    <row r="177" hidden="1">
      <c r="A177" s="13"/>
      <c r="B177" s="13" t="s">
        <v>407</v>
      </c>
      <c r="C177" s="2" t="s">
        <v>408</v>
      </c>
      <c r="D177" s="2" t="s">
        <v>409</v>
      </c>
      <c r="E177" s="1" t="s">
        <v>12</v>
      </c>
      <c r="F177" s="1" t="s">
        <v>8</v>
      </c>
      <c r="G177" s="5" t="str">
        <f t="shared" si="12"/>
        <v>DROP COLUMN IF EXISTS CRGVHRS1,</v>
      </c>
    </row>
    <row r="178" hidden="1">
      <c r="A178" s="13"/>
      <c r="B178" s="13" t="s">
        <v>410</v>
      </c>
      <c r="C178" s="2" t="s">
        <v>411</v>
      </c>
      <c r="D178" s="2" t="s">
        <v>412</v>
      </c>
      <c r="E178" s="1" t="s">
        <v>12</v>
      </c>
      <c r="F178" s="1" t="s">
        <v>8</v>
      </c>
      <c r="G178" s="5" t="str">
        <f t="shared" si="12"/>
        <v>DROP COLUMN IF EXISTS CRGVPRB3,</v>
      </c>
    </row>
    <row r="179" hidden="1">
      <c r="A179" s="13"/>
      <c r="B179" s="13" t="s">
        <v>413</v>
      </c>
      <c r="C179" s="2" t="s">
        <v>414</v>
      </c>
      <c r="D179" s="2" t="s">
        <v>298</v>
      </c>
      <c r="E179" s="1" t="s">
        <v>12</v>
      </c>
      <c r="F179" s="1" t="s">
        <v>8</v>
      </c>
      <c r="G179" s="5" t="str">
        <f t="shared" si="12"/>
        <v>DROP COLUMN IF EXISTS CRGVALZD,</v>
      </c>
    </row>
    <row r="180" hidden="1">
      <c r="A180" s="13"/>
      <c r="B180" s="13" t="s">
        <v>415</v>
      </c>
      <c r="C180" s="2" t="s">
        <v>416</v>
      </c>
      <c r="D180" s="2" t="s">
        <v>287</v>
      </c>
      <c r="E180" s="1" t="s">
        <v>12</v>
      </c>
      <c r="F180" s="1" t="s">
        <v>8</v>
      </c>
      <c r="G180" s="5" t="str">
        <f t="shared" si="12"/>
        <v>DROP COLUMN IF EXISTS CRGVPER1,</v>
      </c>
    </row>
    <row r="181" hidden="1">
      <c r="A181" s="13"/>
      <c r="B181" s="13" t="s">
        <v>417</v>
      </c>
      <c r="C181" s="2" t="s">
        <v>418</v>
      </c>
      <c r="D181" s="2" t="s">
        <v>287</v>
      </c>
      <c r="E181" s="1" t="s">
        <v>12</v>
      </c>
      <c r="F181" s="1" t="s">
        <v>8</v>
      </c>
      <c r="G181" s="5" t="str">
        <f t="shared" si="12"/>
        <v>DROP COLUMN IF EXISTS CRGVHOU1,</v>
      </c>
    </row>
    <row r="182" hidden="1">
      <c r="A182" s="13"/>
      <c r="B182" s="13" t="s">
        <v>419</v>
      </c>
      <c r="C182" s="2" t="s">
        <v>420</v>
      </c>
      <c r="D182" s="2" t="s">
        <v>287</v>
      </c>
      <c r="E182" s="1" t="s">
        <v>12</v>
      </c>
      <c r="F182" s="1" t="s">
        <v>8</v>
      </c>
      <c r="G182" s="5" t="str">
        <f t="shared" si="12"/>
        <v>DROP COLUMN IF EXISTS CRGVEXPT,</v>
      </c>
    </row>
    <row r="183">
      <c r="A183" s="1">
        <v>134.0</v>
      </c>
      <c r="B183" s="10" t="s">
        <v>421</v>
      </c>
      <c r="C183" s="2" t="s">
        <v>422</v>
      </c>
      <c r="D183" s="2" t="s">
        <v>423</v>
      </c>
      <c r="E183" s="1" t="s">
        <v>12</v>
      </c>
      <c r="F183" s="1" t="s">
        <v>13</v>
      </c>
      <c r="G183" s="5" t="str">
        <f t="shared" ref="G183:G222" si="13">concat("    ", concat(B183, ", "))</f>
        <v>    PSASUGST, </v>
      </c>
      <c r="H183" s="5" t="str">
        <f t="shared" ref="H183:H222" si="14">CONCAT(CONCAT(CONCAT(CONCAT("    SUM(IF(",B183), " IS NULL, 1, 0)) AS "), B183), "_nullcount, ")</f>
        <v>    SUM(IF(PSASUGST IS NULL, 1, 0)) AS PSASUGST_nullcount, </v>
      </c>
    </row>
    <row r="184">
      <c r="A184" s="1">
        <v>135.0</v>
      </c>
      <c r="B184" s="10" t="s">
        <v>424</v>
      </c>
      <c r="C184" s="2" t="s">
        <v>425</v>
      </c>
      <c r="D184" s="2" t="s">
        <v>426</v>
      </c>
      <c r="E184" s="1" t="s">
        <v>12</v>
      </c>
      <c r="F184" s="1" t="s">
        <v>13</v>
      </c>
      <c r="G184" s="5" t="str">
        <f t="shared" si="13"/>
        <v>    PCSTALK1, </v>
      </c>
      <c r="H184" s="5" t="str">
        <f t="shared" si="14"/>
        <v>    SUM(IF(PCSTALK1 IS NULL, 1, 0)) AS PCSTALK1_nullcount, </v>
      </c>
    </row>
    <row r="185">
      <c r="A185" s="1">
        <v>136.0</v>
      </c>
      <c r="B185" s="14" t="s">
        <v>427</v>
      </c>
      <c r="C185" s="2" t="s">
        <v>428</v>
      </c>
      <c r="D185" s="2" t="s">
        <v>429</v>
      </c>
      <c r="E185" s="1" t="s">
        <v>12</v>
      </c>
      <c r="F185" s="1" t="s">
        <v>13</v>
      </c>
      <c r="G185" s="5" t="str">
        <f t="shared" si="13"/>
        <v>    ACEDEPRS, </v>
      </c>
      <c r="H185" s="5" t="str">
        <f t="shared" si="14"/>
        <v>    SUM(IF(ACEDEPRS IS NULL, 1, 0)) AS ACEDEPRS_nullcount, </v>
      </c>
    </row>
    <row r="186">
      <c r="A186" s="1">
        <v>137.0</v>
      </c>
      <c r="B186" s="14" t="s">
        <v>430</v>
      </c>
      <c r="C186" s="2" t="s">
        <v>431</v>
      </c>
      <c r="D186" s="2" t="s">
        <v>429</v>
      </c>
      <c r="E186" s="1" t="s">
        <v>12</v>
      </c>
      <c r="F186" s="1" t="s">
        <v>13</v>
      </c>
      <c r="G186" s="5" t="str">
        <f t="shared" si="13"/>
        <v>    ACEDRINK, </v>
      </c>
      <c r="H186" s="5" t="str">
        <f t="shared" si="14"/>
        <v>    SUM(IF(ACEDRINK IS NULL, 1, 0)) AS ACEDRINK_nullcount, </v>
      </c>
    </row>
    <row r="187">
      <c r="A187" s="1">
        <v>138.0</v>
      </c>
      <c r="B187" s="14" t="s">
        <v>432</v>
      </c>
      <c r="C187" s="2" t="s">
        <v>433</v>
      </c>
      <c r="D187" s="2" t="s">
        <v>429</v>
      </c>
      <c r="E187" s="1" t="s">
        <v>12</v>
      </c>
      <c r="F187" s="1" t="s">
        <v>13</v>
      </c>
      <c r="G187" s="5" t="str">
        <f t="shared" si="13"/>
        <v>    ACEDRUGS, </v>
      </c>
      <c r="H187" s="5" t="str">
        <f t="shared" si="14"/>
        <v>    SUM(IF(ACEDRUGS IS NULL, 1, 0)) AS ACEDRUGS_nullcount, </v>
      </c>
    </row>
    <row r="188">
      <c r="A188" s="1">
        <v>139.0</v>
      </c>
      <c r="B188" s="14" t="s">
        <v>434</v>
      </c>
      <c r="C188" s="2" t="s">
        <v>435</v>
      </c>
      <c r="D188" s="2" t="s">
        <v>429</v>
      </c>
      <c r="E188" s="1" t="s">
        <v>12</v>
      </c>
      <c r="F188" s="1" t="s">
        <v>13</v>
      </c>
      <c r="G188" s="5" t="str">
        <f t="shared" si="13"/>
        <v>    ACEPRISN, </v>
      </c>
      <c r="H188" s="5" t="str">
        <f t="shared" si="14"/>
        <v>    SUM(IF(ACEPRISN IS NULL, 1, 0)) AS ACEPRISN_nullcount, </v>
      </c>
    </row>
    <row r="189">
      <c r="A189" s="1">
        <v>140.0</v>
      </c>
      <c r="B189" s="14" t="s">
        <v>436</v>
      </c>
      <c r="C189" s="2" t="s">
        <v>437</v>
      </c>
      <c r="D189" s="2" t="s">
        <v>438</v>
      </c>
      <c r="E189" s="1" t="s">
        <v>12</v>
      </c>
      <c r="F189" s="1" t="s">
        <v>13</v>
      </c>
      <c r="G189" s="5" t="str">
        <f t="shared" si="13"/>
        <v>    ACEDIVRC, </v>
      </c>
      <c r="H189" s="5" t="str">
        <f t="shared" si="14"/>
        <v>    SUM(IF(ACEDIVRC IS NULL, 1, 0)) AS ACEDIVRC_nullcount, </v>
      </c>
    </row>
    <row r="190">
      <c r="A190" s="1">
        <v>141.0</v>
      </c>
      <c r="B190" s="14" t="s">
        <v>439</v>
      </c>
      <c r="C190" s="2" t="s">
        <v>440</v>
      </c>
      <c r="D190" s="2" t="s">
        <v>441</v>
      </c>
      <c r="E190" s="1" t="s">
        <v>12</v>
      </c>
      <c r="F190" s="1" t="s">
        <v>13</v>
      </c>
      <c r="G190" s="5" t="str">
        <f t="shared" si="13"/>
        <v>    ACEPUNCH, </v>
      </c>
      <c r="H190" s="5" t="str">
        <f t="shared" si="14"/>
        <v>    SUM(IF(ACEPUNCH IS NULL, 1, 0)) AS ACEPUNCH_nullcount, </v>
      </c>
    </row>
    <row r="191">
      <c r="A191" s="1">
        <v>142.0</v>
      </c>
      <c r="B191" s="14" t="s">
        <v>442</v>
      </c>
      <c r="C191" s="2" t="s">
        <v>443</v>
      </c>
      <c r="D191" s="2" t="s">
        <v>441</v>
      </c>
      <c r="E191" s="1" t="s">
        <v>12</v>
      </c>
      <c r="F191" s="1" t="s">
        <v>13</v>
      </c>
      <c r="G191" s="5" t="str">
        <f t="shared" si="13"/>
        <v>    ACEHURT1, </v>
      </c>
      <c r="H191" s="5" t="str">
        <f t="shared" si="14"/>
        <v>    SUM(IF(ACEHURT1 IS NULL, 1, 0)) AS ACEHURT1_nullcount, </v>
      </c>
    </row>
    <row r="192">
      <c r="A192" s="1">
        <v>143.0</v>
      </c>
      <c r="B192" s="14" t="s">
        <v>444</v>
      </c>
      <c r="C192" s="2" t="s">
        <v>445</v>
      </c>
      <c r="D192" s="2" t="s">
        <v>441</v>
      </c>
      <c r="E192" s="1" t="s">
        <v>12</v>
      </c>
      <c r="F192" s="1" t="s">
        <v>13</v>
      </c>
      <c r="G192" s="5" t="str">
        <f t="shared" si="13"/>
        <v>    ACESWEAR, </v>
      </c>
      <c r="H192" s="5" t="str">
        <f t="shared" si="14"/>
        <v>    SUM(IF(ACESWEAR IS NULL, 1, 0)) AS ACESWEAR_nullcount, </v>
      </c>
    </row>
    <row r="193">
      <c r="A193" s="1">
        <v>144.0</v>
      </c>
      <c r="B193" s="14" t="s">
        <v>446</v>
      </c>
      <c r="C193" s="2" t="s">
        <v>447</v>
      </c>
      <c r="D193" s="2" t="s">
        <v>441</v>
      </c>
      <c r="E193" s="1" t="s">
        <v>12</v>
      </c>
      <c r="F193" s="1" t="s">
        <v>13</v>
      </c>
      <c r="G193" s="5" t="str">
        <f t="shared" si="13"/>
        <v>    ACETOUCH, </v>
      </c>
      <c r="H193" s="5" t="str">
        <f t="shared" si="14"/>
        <v>    SUM(IF(ACETOUCH IS NULL, 1, 0)) AS ACETOUCH_nullcount, </v>
      </c>
    </row>
    <row r="194">
      <c r="A194" s="1">
        <v>145.0</v>
      </c>
      <c r="B194" s="14" t="s">
        <v>448</v>
      </c>
      <c r="C194" s="2" t="s">
        <v>449</v>
      </c>
      <c r="D194" s="2" t="s">
        <v>441</v>
      </c>
      <c r="E194" s="1" t="s">
        <v>12</v>
      </c>
      <c r="F194" s="1" t="s">
        <v>13</v>
      </c>
      <c r="G194" s="5" t="str">
        <f t="shared" si="13"/>
        <v>    ACETTHEM, </v>
      </c>
      <c r="H194" s="5" t="str">
        <f t="shared" si="14"/>
        <v>    SUM(IF(ACETTHEM IS NULL, 1, 0)) AS ACETTHEM_nullcount, </v>
      </c>
    </row>
    <row r="195">
      <c r="A195" s="1">
        <v>146.0</v>
      </c>
      <c r="B195" s="14" t="s">
        <v>450</v>
      </c>
      <c r="C195" s="2" t="s">
        <v>451</v>
      </c>
      <c r="D195" s="2" t="s">
        <v>441</v>
      </c>
      <c r="E195" s="1" t="s">
        <v>12</v>
      </c>
      <c r="F195" s="1" t="s">
        <v>13</v>
      </c>
      <c r="G195" s="5" t="str">
        <f t="shared" si="13"/>
        <v>    ACEHVSEX, </v>
      </c>
      <c r="H195" s="5" t="str">
        <f t="shared" si="14"/>
        <v>    SUM(IF(ACEHVSEX IS NULL, 1, 0)) AS ACEHVSEX_nullcount, </v>
      </c>
    </row>
    <row r="196">
      <c r="A196" s="1">
        <v>147.0</v>
      </c>
      <c r="B196" s="14" t="s">
        <v>452</v>
      </c>
      <c r="C196" s="2" t="s">
        <v>453</v>
      </c>
      <c r="D196" s="2" t="s">
        <v>454</v>
      </c>
      <c r="E196" s="1" t="s">
        <v>12</v>
      </c>
      <c r="F196" s="1" t="s">
        <v>13</v>
      </c>
      <c r="G196" s="5" t="str">
        <f t="shared" si="13"/>
        <v>    ACEADSAF, </v>
      </c>
      <c r="H196" s="5" t="str">
        <f t="shared" si="14"/>
        <v>    SUM(IF(ACEADSAF IS NULL, 1, 0)) AS ACEADSAF_nullcount, </v>
      </c>
    </row>
    <row r="197">
      <c r="A197" s="1">
        <v>148.0</v>
      </c>
      <c r="B197" s="14" t="s">
        <v>455</v>
      </c>
      <c r="C197" s="2" t="s">
        <v>456</v>
      </c>
      <c r="D197" s="2" t="s">
        <v>454</v>
      </c>
      <c r="E197" s="1" t="s">
        <v>12</v>
      </c>
      <c r="F197" s="1" t="s">
        <v>13</v>
      </c>
      <c r="G197" s="5" t="str">
        <f t="shared" si="13"/>
        <v>    ACEADNED, </v>
      </c>
      <c r="H197" s="5" t="str">
        <f t="shared" si="14"/>
        <v>    SUM(IF(ACEADNED IS NULL, 1, 0)) AS ACEADNED_nullcount, </v>
      </c>
    </row>
    <row r="198">
      <c r="A198" s="1">
        <v>149.0</v>
      </c>
      <c r="B198" s="15" t="s">
        <v>457</v>
      </c>
      <c r="C198" s="2" t="s">
        <v>458</v>
      </c>
      <c r="D198" s="2" t="s">
        <v>459</v>
      </c>
      <c r="E198" s="1" t="s">
        <v>12</v>
      </c>
      <c r="F198" s="1" t="s">
        <v>13</v>
      </c>
      <c r="G198" s="5" t="str">
        <f t="shared" si="13"/>
        <v>    LSATISFY, </v>
      </c>
      <c r="H198" s="5" t="str">
        <f t="shared" si="14"/>
        <v>    SUM(IF(LSATISFY IS NULL, 1, 0)) AS LSATISFY_nullcount, </v>
      </c>
    </row>
    <row r="199">
      <c r="A199" s="1">
        <v>150.0</v>
      </c>
      <c r="B199" s="15" t="s">
        <v>460</v>
      </c>
      <c r="C199" s="2" t="s">
        <v>461</v>
      </c>
      <c r="D199" s="2" t="s">
        <v>462</v>
      </c>
      <c r="E199" s="1" t="s">
        <v>12</v>
      </c>
      <c r="F199" s="1" t="s">
        <v>13</v>
      </c>
      <c r="G199" s="5" t="str">
        <f t="shared" si="13"/>
        <v>    EMTSUPRT, </v>
      </c>
      <c r="H199" s="5" t="str">
        <f t="shared" si="14"/>
        <v>    SUM(IF(EMTSUPRT IS NULL, 1, 0)) AS EMTSUPRT_nullcount, </v>
      </c>
    </row>
    <row r="200">
      <c r="A200" s="1">
        <v>151.0</v>
      </c>
      <c r="B200" s="15" t="s">
        <v>463</v>
      </c>
      <c r="C200" s="2" t="s">
        <v>464</v>
      </c>
      <c r="D200" s="2" t="s">
        <v>462</v>
      </c>
      <c r="E200" s="1" t="s">
        <v>12</v>
      </c>
      <c r="F200" s="1" t="s">
        <v>13</v>
      </c>
      <c r="G200" s="5" t="str">
        <f t="shared" si="13"/>
        <v>    SDHISOLT, </v>
      </c>
      <c r="H200" s="5" t="str">
        <f t="shared" si="14"/>
        <v>    SUM(IF(SDHISOLT IS NULL, 1, 0)) AS SDHISOLT_nullcount, </v>
      </c>
    </row>
    <row r="201">
      <c r="A201" s="1">
        <v>152.0</v>
      </c>
      <c r="B201" s="15" t="s">
        <v>465</v>
      </c>
      <c r="C201" s="2" t="s">
        <v>466</v>
      </c>
      <c r="D201" s="2" t="s">
        <v>467</v>
      </c>
      <c r="E201" s="1" t="s">
        <v>12</v>
      </c>
      <c r="F201" s="1" t="s">
        <v>13</v>
      </c>
      <c r="G201" s="5" t="str">
        <f t="shared" si="13"/>
        <v>    SDHEMPLY, </v>
      </c>
      <c r="H201" s="5" t="str">
        <f t="shared" si="14"/>
        <v>    SUM(IF(SDHEMPLY IS NULL, 1, 0)) AS SDHEMPLY_nullcount, </v>
      </c>
    </row>
    <row r="202">
      <c r="A202" s="1">
        <v>153.0</v>
      </c>
      <c r="B202" s="15" t="s">
        <v>468</v>
      </c>
      <c r="C202" s="2" t="s">
        <v>469</v>
      </c>
      <c r="D202" s="2" t="s">
        <v>467</v>
      </c>
      <c r="E202" s="1" t="s">
        <v>12</v>
      </c>
      <c r="F202" s="1" t="s">
        <v>13</v>
      </c>
      <c r="G202" s="5" t="str">
        <f t="shared" si="13"/>
        <v>    FOODSTMP, </v>
      </c>
      <c r="H202" s="5" t="str">
        <f t="shared" si="14"/>
        <v>    SUM(IF(FOODSTMP IS NULL, 1, 0)) AS FOODSTMP_nullcount, </v>
      </c>
    </row>
    <row r="203">
      <c r="A203" s="1">
        <v>154.0</v>
      </c>
      <c r="B203" s="15" t="s">
        <v>470</v>
      </c>
      <c r="C203" s="2" t="s">
        <v>471</v>
      </c>
      <c r="D203" s="2" t="s">
        <v>462</v>
      </c>
      <c r="E203" s="1" t="s">
        <v>12</v>
      </c>
      <c r="F203" s="1" t="s">
        <v>13</v>
      </c>
      <c r="G203" s="5" t="str">
        <f t="shared" si="13"/>
        <v>    SDHFOOD1, </v>
      </c>
      <c r="H203" s="5" t="str">
        <f t="shared" si="14"/>
        <v>    SUM(IF(SDHFOOD1 IS NULL, 1, 0)) AS SDHFOOD1_nullcount, </v>
      </c>
    </row>
    <row r="204">
      <c r="A204" s="1">
        <v>155.0</v>
      </c>
      <c r="B204" s="15" t="s">
        <v>472</v>
      </c>
      <c r="C204" s="2" t="s">
        <v>473</v>
      </c>
      <c r="D204" s="2" t="s">
        <v>467</v>
      </c>
      <c r="E204" s="1" t="s">
        <v>12</v>
      </c>
      <c r="F204" s="1" t="s">
        <v>13</v>
      </c>
      <c r="G204" s="5" t="str">
        <f t="shared" si="13"/>
        <v>    SDHBILLS, </v>
      </c>
      <c r="H204" s="5" t="str">
        <f t="shared" si="14"/>
        <v>    SUM(IF(SDHBILLS IS NULL, 1, 0)) AS SDHBILLS_nullcount, </v>
      </c>
    </row>
    <row r="205">
      <c r="A205" s="1">
        <v>156.0</v>
      </c>
      <c r="B205" s="15" t="s">
        <v>474</v>
      </c>
      <c r="C205" s="2" t="s">
        <v>475</v>
      </c>
      <c r="D205" s="2" t="s">
        <v>467</v>
      </c>
      <c r="E205" s="1" t="s">
        <v>12</v>
      </c>
      <c r="F205" s="1" t="s">
        <v>13</v>
      </c>
      <c r="G205" s="5" t="str">
        <f t="shared" si="13"/>
        <v>    SDHUTILS, </v>
      </c>
      <c r="H205" s="5" t="str">
        <f t="shared" si="14"/>
        <v>    SUM(IF(SDHUTILS IS NULL, 1, 0)) AS SDHUTILS_nullcount, </v>
      </c>
    </row>
    <row r="206">
      <c r="A206" s="1">
        <v>157.0</v>
      </c>
      <c r="B206" s="15" t="s">
        <v>476</v>
      </c>
      <c r="C206" s="2" t="s">
        <v>477</v>
      </c>
      <c r="D206" s="2" t="s">
        <v>467</v>
      </c>
      <c r="E206" s="1" t="s">
        <v>12</v>
      </c>
      <c r="F206" s="1" t="s">
        <v>13</v>
      </c>
      <c r="G206" s="5" t="str">
        <f t="shared" si="13"/>
        <v>    SDHTRNSP, </v>
      </c>
      <c r="H206" s="5" t="str">
        <f t="shared" si="14"/>
        <v>    SUM(IF(SDHTRNSP IS NULL, 1, 0)) AS SDHTRNSP_nullcount, </v>
      </c>
    </row>
    <row r="207">
      <c r="A207" s="1">
        <v>158.0</v>
      </c>
      <c r="B207" s="15" t="s">
        <v>478</v>
      </c>
      <c r="C207" s="2" t="s">
        <v>479</v>
      </c>
      <c r="D207" s="2" t="s">
        <v>462</v>
      </c>
      <c r="E207" s="1" t="s">
        <v>12</v>
      </c>
      <c r="F207" s="1" t="s">
        <v>13</v>
      </c>
      <c r="G207" s="5" t="str">
        <f t="shared" si="13"/>
        <v>    SDHSTRE1, </v>
      </c>
      <c r="H207" s="5" t="str">
        <f t="shared" si="14"/>
        <v>    SUM(IF(SDHSTRE1 IS NULL, 1, 0)) AS SDHSTRE1_nullcount, </v>
      </c>
    </row>
    <row r="208">
      <c r="A208" s="1">
        <v>159.0</v>
      </c>
      <c r="B208" s="1" t="s">
        <v>480</v>
      </c>
      <c r="C208" s="2" t="s">
        <v>481</v>
      </c>
      <c r="D208" s="2" t="s">
        <v>482</v>
      </c>
      <c r="E208" s="1" t="s">
        <v>12</v>
      </c>
      <c r="F208" s="1" t="s">
        <v>13</v>
      </c>
      <c r="G208" s="5" t="str">
        <f t="shared" si="13"/>
        <v>    MARIJAN1, </v>
      </c>
      <c r="H208" s="5" t="str">
        <f t="shared" si="14"/>
        <v>    SUM(IF(MARIJAN1 IS NULL, 1, 0)) AS MARIJAN1_nullcount, </v>
      </c>
    </row>
    <row r="209">
      <c r="A209" s="1">
        <v>160.0</v>
      </c>
      <c r="B209" s="1" t="s">
        <v>483</v>
      </c>
      <c r="C209" s="2" t="s">
        <v>484</v>
      </c>
      <c r="D209" s="2" t="s">
        <v>429</v>
      </c>
      <c r="E209" s="1" t="s">
        <v>12</v>
      </c>
      <c r="F209" s="1" t="s">
        <v>13</v>
      </c>
      <c r="G209" s="5" t="str">
        <f t="shared" si="13"/>
        <v>    MARJSMOK, </v>
      </c>
      <c r="H209" s="5" t="str">
        <f t="shared" si="14"/>
        <v>    SUM(IF(MARJSMOK IS NULL, 1, 0)) AS MARJSMOK_nullcount, </v>
      </c>
    </row>
    <row r="210">
      <c r="A210" s="1">
        <v>161.0</v>
      </c>
      <c r="B210" s="1" t="s">
        <v>485</v>
      </c>
      <c r="C210" s="2" t="s">
        <v>486</v>
      </c>
      <c r="D210" s="2" t="s">
        <v>429</v>
      </c>
      <c r="E210" s="1" t="s">
        <v>12</v>
      </c>
      <c r="F210" s="1" t="s">
        <v>13</v>
      </c>
      <c r="G210" s="5" t="str">
        <f t="shared" si="13"/>
        <v>    MARJEAT, </v>
      </c>
      <c r="H210" s="5" t="str">
        <f t="shared" si="14"/>
        <v>    SUM(IF(MARJEAT IS NULL, 1, 0)) AS MARJEAT_nullcount, </v>
      </c>
    </row>
    <row r="211">
      <c r="A211" s="1">
        <v>162.0</v>
      </c>
      <c r="B211" s="1" t="s">
        <v>487</v>
      </c>
      <c r="C211" s="2" t="s">
        <v>488</v>
      </c>
      <c r="D211" s="2" t="s">
        <v>429</v>
      </c>
      <c r="E211" s="1" t="s">
        <v>12</v>
      </c>
      <c r="F211" s="1" t="s">
        <v>13</v>
      </c>
      <c r="G211" s="5" t="str">
        <f t="shared" si="13"/>
        <v>    MARJVAPE, </v>
      </c>
      <c r="H211" s="5" t="str">
        <f t="shared" si="14"/>
        <v>    SUM(IF(MARJVAPE IS NULL, 1, 0)) AS MARJVAPE_nullcount, </v>
      </c>
    </row>
    <row r="212">
      <c r="A212" s="1">
        <v>163.0</v>
      </c>
      <c r="B212" s="1" t="s">
        <v>489</v>
      </c>
      <c r="C212" s="2" t="s">
        <v>490</v>
      </c>
      <c r="D212" s="2" t="s">
        <v>429</v>
      </c>
      <c r="E212" s="1" t="s">
        <v>12</v>
      </c>
      <c r="F212" s="1" t="s">
        <v>13</v>
      </c>
      <c r="G212" s="5" t="str">
        <f t="shared" si="13"/>
        <v>    MARJDAB, </v>
      </c>
      <c r="H212" s="5" t="str">
        <f t="shared" si="14"/>
        <v>    SUM(IF(MARJDAB IS NULL, 1, 0)) AS MARJDAB_nullcount, </v>
      </c>
    </row>
    <row r="213">
      <c r="A213" s="1">
        <v>164.0</v>
      </c>
      <c r="B213" s="1" t="s">
        <v>491</v>
      </c>
      <c r="C213" s="2" t="s">
        <v>492</v>
      </c>
      <c r="D213" s="2" t="s">
        <v>429</v>
      </c>
      <c r="E213" s="1" t="s">
        <v>12</v>
      </c>
      <c r="F213" s="1" t="s">
        <v>13</v>
      </c>
      <c r="G213" s="5" t="str">
        <f t="shared" si="13"/>
        <v>    MARJOTHR, </v>
      </c>
      <c r="H213" s="5" t="str">
        <f t="shared" si="14"/>
        <v>    SUM(IF(MARJOTHR IS NULL, 1, 0)) AS MARJOTHR_nullcount, </v>
      </c>
    </row>
    <row r="214">
      <c r="A214" s="1">
        <v>165.0</v>
      </c>
      <c r="B214" s="1" t="s">
        <v>493</v>
      </c>
      <c r="C214" s="2" t="s">
        <v>494</v>
      </c>
      <c r="D214" s="2" t="s">
        <v>495</v>
      </c>
      <c r="E214" s="1" t="s">
        <v>12</v>
      </c>
      <c r="F214" s="1" t="s">
        <v>13</v>
      </c>
      <c r="G214" s="5" t="str">
        <f t="shared" si="13"/>
        <v>    USEMRJN4, </v>
      </c>
      <c r="H214" s="5" t="str">
        <f t="shared" si="14"/>
        <v>    SUM(IF(USEMRJN4 IS NULL, 1, 0)) AS USEMRJN4_nullcount, </v>
      </c>
    </row>
    <row r="215">
      <c r="A215" s="1">
        <v>166.0</v>
      </c>
      <c r="B215" s="1" t="s">
        <v>496</v>
      </c>
      <c r="C215" s="2" t="s">
        <v>497</v>
      </c>
      <c r="D215" s="2" t="s">
        <v>498</v>
      </c>
      <c r="E215" s="1" t="s">
        <v>12</v>
      </c>
      <c r="F215" s="1" t="s">
        <v>13</v>
      </c>
      <c r="G215" s="5" t="str">
        <f t="shared" si="13"/>
        <v>    LASTSMK2, </v>
      </c>
      <c r="H215" s="5" t="str">
        <f t="shared" si="14"/>
        <v>    SUM(IF(LASTSMK2 IS NULL, 1, 0)) AS LASTSMK2_nullcount, </v>
      </c>
    </row>
    <row r="216">
      <c r="A216" s="1">
        <v>167.0</v>
      </c>
      <c r="B216" s="1" t="s">
        <v>499</v>
      </c>
      <c r="C216" s="2" t="s">
        <v>500</v>
      </c>
      <c r="D216" s="2" t="s">
        <v>80</v>
      </c>
      <c r="E216" s="1" t="s">
        <v>12</v>
      </c>
      <c r="F216" s="1" t="s">
        <v>13</v>
      </c>
      <c r="G216" s="5" t="str">
        <f t="shared" si="13"/>
        <v>    STOPSMK2, </v>
      </c>
      <c r="H216" s="5" t="str">
        <f t="shared" si="14"/>
        <v>    SUM(IF(STOPSMK2 IS NULL, 1, 0)) AS STOPSMK2_nullcount, </v>
      </c>
    </row>
    <row r="217">
      <c r="A217" s="1">
        <v>168.0</v>
      </c>
      <c r="B217" s="1" t="s">
        <v>501</v>
      </c>
      <c r="C217" s="2" t="s">
        <v>502</v>
      </c>
      <c r="D217" s="2" t="s">
        <v>80</v>
      </c>
      <c r="E217" s="1" t="s">
        <v>12</v>
      </c>
      <c r="F217" s="1" t="s">
        <v>13</v>
      </c>
      <c r="G217" s="5" t="str">
        <f t="shared" si="13"/>
        <v>    MENTCIGS, </v>
      </c>
      <c r="H217" s="5" t="str">
        <f t="shared" si="14"/>
        <v>    SUM(IF(MENTCIGS IS NULL, 1, 0)) AS MENTCIGS_nullcount, </v>
      </c>
    </row>
    <row r="218">
      <c r="A218" s="1">
        <v>169.0</v>
      </c>
      <c r="B218" s="1" t="s">
        <v>503</v>
      </c>
      <c r="C218" s="2" t="s">
        <v>504</v>
      </c>
      <c r="D218" s="2" t="s">
        <v>80</v>
      </c>
      <c r="E218" s="1" t="s">
        <v>12</v>
      </c>
      <c r="F218" s="1" t="s">
        <v>13</v>
      </c>
      <c r="G218" s="5" t="str">
        <f t="shared" si="13"/>
        <v>    MENTECIG, </v>
      </c>
      <c r="H218" s="5" t="str">
        <f t="shared" si="14"/>
        <v>    SUM(IF(MENTECIG IS NULL, 1, 0)) AS MENTECIG_nullcount, </v>
      </c>
    </row>
    <row r="219">
      <c r="A219" s="1">
        <v>170.0</v>
      </c>
      <c r="B219" s="1" t="s">
        <v>505</v>
      </c>
      <c r="C219" s="2" t="s">
        <v>506</v>
      </c>
      <c r="D219" s="2" t="s">
        <v>80</v>
      </c>
      <c r="E219" s="1" t="s">
        <v>12</v>
      </c>
      <c r="F219" s="1" t="s">
        <v>13</v>
      </c>
      <c r="G219" s="5" t="str">
        <f t="shared" si="13"/>
        <v>    HEATTBCO, </v>
      </c>
      <c r="H219" s="5" t="str">
        <f t="shared" si="14"/>
        <v>    SUM(IF(HEATTBCO IS NULL, 1, 0)) AS HEATTBCO_nullcount, </v>
      </c>
    </row>
    <row r="220">
      <c r="A220" s="1">
        <v>171.0</v>
      </c>
      <c r="B220" s="1" t="s">
        <v>507</v>
      </c>
      <c r="C220" s="2" t="s">
        <v>508</v>
      </c>
      <c r="D220" s="2" t="s">
        <v>287</v>
      </c>
      <c r="E220" s="1" t="s">
        <v>12</v>
      </c>
      <c r="F220" s="1" t="s">
        <v>13</v>
      </c>
      <c r="G220" s="5" t="str">
        <f t="shared" si="13"/>
        <v>    ASBIALCH, </v>
      </c>
      <c r="H220" s="5" t="str">
        <f t="shared" si="14"/>
        <v>    SUM(IF(ASBIALCH IS NULL, 1, 0)) AS ASBIALCH_nullcount, </v>
      </c>
    </row>
    <row r="221">
      <c r="A221" s="1">
        <v>172.0</v>
      </c>
      <c r="B221" s="1" t="s">
        <v>509</v>
      </c>
      <c r="C221" s="2" t="s">
        <v>510</v>
      </c>
      <c r="D221" s="2" t="s">
        <v>287</v>
      </c>
      <c r="E221" s="1" t="s">
        <v>12</v>
      </c>
      <c r="F221" s="1" t="s">
        <v>13</v>
      </c>
      <c r="G221" s="5" t="str">
        <f t="shared" si="13"/>
        <v>    ASBIDRNK, </v>
      </c>
      <c r="H221" s="5" t="str">
        <f t="shared" si="14"/>
        <v>    SUM(IF(ASBIDRNK IS NULL, 1, 0)) AS ASBIDRNK_nullcount, </v>
      </c>
    </row>
    <row r="222">
      <c r="A222" s="1">
        <v>173.0</v>
      </c>
      <c r="B222" s="1" t="s">
        <v>511</v>
      </c>
      <c r="C222" s="2" t="s">
        <v>512</v>
      </c>
      <c r="D222" s="2" t="s">
        <v>287</v>
      </c>
      <c r="E222" s="1" t="s">
        <v>12</v>
      </c>
      <c r="F222" s="1" t="s">
        <v>13</v>
      </c>
      <c r="G222" s="5" t="str">
        <f t="shared" si="13"/>
        <v>    ASBIBING, </v>
      </c>
      <c r="H222" s="5" t="str">
        <f t="shared" si="14"/>
        <v>    SUM(IF(ASBIBING IS NULL, 1, 0)) AS ASBIBING_nullcount, </v>
      </c>
    </row>
    <row r="223" hidden="1">
      <c r="A223" s="1"/>
      <c r="B223" s="1" t="s">
        <v>513</v>
      </c>
      <c r="C223" s="2" t="s">
        <v>514</v>
      </c>
      <c r="D223" s="2" t="s">
        <v>287</v>
      </c>
      <c r="E223" s="1" t="s">
        <v>12</v>
      </c>
      <c r="F223" s="1" t="s">
        <v>8</v>
      </c>
      <c r="G223" s="5" t="str">
        <f t="shared" ref="G223:G229" si="15">concat(concat("DROP COLUMN IF EXISTS ", B223), ",")</f>
        <v>DROP COLUMN IF EXISTS FIREARM5,</v>
      </c>
    </row>
    <row r="224" hidden="1">
      <c r="A224" s="1"/>
      <c r="B224" s="1" t="s">
        <v>515</v>
      </c>
      <c r="C224" s="2" t="s">
        <v>516</v>
      </c>
      <c r="D224" s="2" t="s">
        <v>287</v>
      </c>
      <c r="E224" s="1" t="s">
        <v>12</v>
      </c>
      <c r="F224" s="1" t="s">
        <v>8</v>
      </c>
      <c r="G224" s="5" t="str">
        <f t="shared" si="15"/>
        <v>DROP COLUMN IF EXISTS GUNLOAD,</v>
      </c>
    </row>
    <row r="225" hidden="1">
      <c r="A225" s="1"/>
      <c r="B225" s="1" t="s">
        <v>517</v>
      </c>
      <c r="C225" s="2" t="s">
        <v>518</v>
      </c>
      <c r="D225" s="2" t="s">
        <v>287</v>
      </c>
      <c r="E225" s="1" t="s">
        <v>12</v>
      </c>
      <c r="F225" s="1" t="s">
        <v>8</v>
      </c>
      <c r="G225" s="5" t="str">
        <f t="shared" si="15"/>
        <v>DROP COLUMN IF EXISTS LOADULK2,</v>
      </c>
    </row>
    <row r="226" hidden="1">
      <c r="A226" s="1"/>
      <c r="B226" s="1" t="s">
        <v>519</v>
      </c>
      <c r="C226" s="2" t="s">
        <v>520</v>
      </c>
      <c r="D226" s="2" t="s">
        <v>521</v>
      </c>
      <c r="E226" s="1" t="s">
        <v>12</v>
      </c>
      <c r="F226" s="1" t="s">
        <v>8</v>
      </c>
      <c r="G226" s="5" t="str">
        <f t="shared" si="15"/>
        <v>DROP COLUMN IF EXISTS RCSGEND1,</v>
      </c>
    </row>
    <row r="227" hidden="1">
      <c r="A227" s="1"/>
      <c r="B227" s="1" t="s">
        <v>522</v>
      </c>
      <c r="C227" s="2" t="s">
        <v>523</v>
      </c>
      <c r="D227" s="2" t="s">
        <v>260</v>
      </c>
      <c r="E227" s="1" t="s">
        <v>12</v>
      </c>
      <c r="F227" s="1" t="s">
        <v>8</v>
      </c>
      <c r="G227" s="5" t="str">
        <f t="shared" si="15"/>
        <v>DROP COLUMN IF EXISTS RCSXBRTH,</v>
      </c>
    </row>
    <row r="228" hidden="1">
      <c r="A228" s="1"/>
      <c r="B228" s="1" t="s">
        <v>524</v>
      </c>
      <c r="C228" s="2" t="s">
        <v>525</v>
      </c>
      <c r="D228" s="2" t="s">
        <v>526</v>
      </c>
      <c r="E228" s="1" t="s">
        <v>12</v>
      </c>
      <c r="F228" s="1" t="s">
        <v>8</v>
      </c>
      <c r="G228" s="5" t="str">
        <f t="shared" si="15"/>
        <v>DROP COLUMN IF EXISTS RCSRLTN2,</v>
      </c>
    </row>
    <row r="229" hidden="1">
      <c r="A229" s="1"/>
      <c r="B229" s="1" t="s">
        <v>527</v>
      </c>
      <c r="C229" s="2" t="s">
        <v>528</v>
      </c>
      <c r="D229" s="2" t="s">
        <v>287</v>
      </c>
      <c r="E229" s="1" t="s">
        <v>12</v>
      </c>
      <c r="F229" s="1" t="s">
        <v>8</v>
      </c>
      <c r="G229" s="5" t="str">
        <f t="shared" si="15"/>
        <v>DROP COLUMN IF EXISTS CASTHDX2,</v>
      </c>
    </row>
    <row r="230">
      <c r="A230" s="1">
        <v>174.0</v>
      </c>
      <c r="B230" s="1" t="s">
        <v>529</v>
      </c>
      <c r="C230" s="2" t="s">
        <v>530</v>
      </c>
      <c r="D230" s="2" t="s">
        <v>287</v>
      </c>
      <c r="E230" s="1" t="s">
        <v>12</v>
      </c>
      <c r="F230" s="1" t="s">
        <v>13</v>
      </c>
      <c r="G230" s="5" t="str">
        <f>concat("    ", concat(B230, ", "))</f>
        <v>    ASBIADVC, </v>
      </c>
      <c r="H230" s="5" t="str">
        <f>CONCAT(CONCAT(CONCAT(CONCAT("    SUM(IF(",B230), " IS NULL, 1, 0)) AS "), B230), "_nullcount, ")</f>
        <v>    SUM(IF(ASBIADVC IS NULL, 1, 0)) AS ASBIADVC_nullcount, </v>
      </c>
    </row>
    <row r="231" hidden="1">
      <c r="A231" s="1"/>
      <c r="B231" s="1" t="s">
        <v>531</v>
      </c>
      <c r="C231" s="2" t="s">
        <v>532</v>
      </c>
      <c r="D231" s="2" t="s">
        <v>533</v>
      </c>
      <c r="E231" s="1" t="s">
        <v>12</v>
      </c>
      <c r="F231" s="1" t="s">
        <v>8</v>
      </c>
      <c r="G231" s="5" t="str">
        <f t="shared" ref="G231:G241" si="16">concat(concat("DROP COLUMN IF EXISTS ", B231), ",")</f>
        <v>DROP COLUMN IF EXISTS BIRTHSEX,</v>
      </c>
    </row>
    <row r="232" hidden="1">
      <c r="A232" s="1"/>
      <c r="B232" s="1" t="s">
        <v>534</v>
      </c>
      <c r="C232" s="2" t="s">
        <v>535</v>
      </c>
      <c r="D232" s="2" t="s">
        <v>536</v>
      </c>
      <c r="E232" s="1" t="s">
        <v>12</v>
      </c>
      <c r="F232" s="1" t="s">
        <v>8</v>
      </c>
      <c r="G232" s="5" t="str">
        <f t="shared" si="16"/>
        <v>DROP COLUMN IF EXISTS SOMALE,</v>
      </c>
    </row>
    <row r="233" hidden="1">
      <c r="A233" s="1"/>
      <c r="B233" s="1" t="s">
        <v>537</v>
      </c>
      <c r="C233" s="2" t="s">
        <v>535</v>
      </c>
      <c r="D233" s="2" t="s">
        <v>538</v>
      </c>
      <c r="E233" s="1" t="s">
        <v>12</v>
      </c>
      <c r="F233" s="1" t="s">
        <v>8</v>
      </c>
      <c r="G233" s="5" t="str">
        <f t="shared" si="16"/>
        <v>DROP COLUMN IF EXISTS SOFEMALE,</v>
      </c>
    </row>
    <row r="234" hidden="1">
      <c r="A234" s="1"/>
      <c r="B234" s="1" t="s">
        <v>539</v>
      </c>
      <c r="C234" s="2" t="s">
        <v>540</v>
      </c>
      <c r="D234" s="2" t="s">
        <v>541</v>
      </c>
      <c r="E234" s="1" t="s">
        <v>12</v>
      </c>
      <c r="F234" s="1" t="s">
        <v>8</v>
      </c>
      <c r="G234" s="5" t="str">
        <f t="shared" si="16"/>
        <v>DROP COLUMN IF EXISTS TRNSGNDR,</v>
      </c>
    </row>
    <row r="235" hidden="1">
      <c r="A235" s="1"/>
      <c r="B235" s="1" t="s">
        <v>542</v>
      </c>
      <c r="C235" s="2" t="s">
        <v>543</v>
      </c>
      <c r="D235" s="2" t="s">
        <v>287</v>
      </c>
      <c r="E235" s="1" t="s">
        <v>12</v>
      </c>
      <c r="F235" s="1" t="s">
        <v>8</v>
      </c>
      <c r="G235" s="5" t="str">
        <f t="shared" si="16"/>
        <v>DROP COLUMN IF EXISTS HADSEX,</v>
      </c>
    </row>
    <row r="236" hidden="1">
      <c r="A236" s="1"/>
      <c r="B236" s="1" t="s">
        <v>544</v>
      </c>
      <c r="C236" s="2" t="s">
        <v>545</v>
      </c>
      <c r="D236" s="2" t="s">
        <v>287</v>
      </c>
      <c r="E236" s="1" t="s">
        <v>12</v>
      </c>
      <c r="F236" s="1" t="s">
        <v>8</v>
      </c>
      <c r="G236" s="5" t="str">
        <f t="shared" si="16"/>
        <v>DROP COLUMN IF EXISTS PFPPRVN4,</v>
      </c>
    </row>
    <row r="237" hidden="1">
      <c r="A237" s="1"/>
      <c r="B237" s="1" t="s">
        <v>546</v>
      </c>
      <c r="C237" s="2" t="s">
        <v>547</v>
      </c>
      <c r="D237" s="2" t="s">
        <v>548</v>
      </c>
      <c r="E237" s="1" t="s">
        <v>12</v>
      </c>
      <c r="F237" s="1" t="s">
        <v>8</v>
      </c>
      <c r="G237" s="5" t="str">
        <f t="shared" si="16"/>
        <v>DROP COLUMN IF EXISTS TYPCNTR9,</v>
      </c>
    </row>
    <row r="238" hidden="1">
      <c r="A238" s="1"/>
      <c r="B238" s="1" t="s">
        <v>549</v>
      </c>
      <c r="C238" s="2" t="s">
        <v>550</v>
      </c>
      <c r="D238" s="2" t="s">
        <v>551</v>
      </c>
      <c r="E238" s="1" t="s">
        <v>12</v>
      </c>
      <c r="F238" s="1" t="s">
        <v>8</v>
      </c>
      <c r="G238" s="5" t="str">
        <f t="shared" si="16"/>
        <v>DROP COLUMN IF EXISTS BRTHCNT4,</v>
      </c>
    </row>
    <row r="239" hidden="1">
      <c r="A239" s="1"/>
      <c r="B239" s="1" t="s">
        <v>552</v>
      </c>
      <c r="C239" s="2" t="s">
        <v>553</v>
      </c>
      <c r="D239" s="2" t="s">
        <v>554</v>
      </c>
      <c r="E239" s="1" t="s">
        <v>12</v>
      </c>
      <c r="F239" s="1" t="s">
        <v>8</v>
      </c>
      <c r="G239" s="5" t="str">
        <f t="shared" si="16"/>
        <v>DROP COLUMN IF EXISTS WHEREGET,</v>
      </c>
    </row>
    <row r="240" hidden="1">
      <c r="A240" s="1"/>
      <c r="B240" s="1" t="s">
        <v>555</v>
      </c>
      <c r="C240" s="2" t="s">
        <v>556</v>
      </c>
      <c r="D240" s="2" t="s">
        <v>557</v>
      </c>
      <c r="E240" s="1" t="s">
        <v>12</v>
      </c>
      <c r="F240" s="1" t="s">
        <v>8</v>
      </c>
      <c r="G240" s="5" t="str">
        <f t="shared" si="16"/>
        <v>DROP COLUMN IF EXISTS NOBCUSE8,</v>
      </c>
    </row>
    <row r="241" hidden="1">
      <c r="A241" s="1"/>
      <c r="B241" s="1" t="s">
        <v>558</v>
      </c>
      <c r="C241" s="2" t="s">
        <v>559</v>
      </c>
      <c r="D241" s="2" t="s">
        <v>560</v>
      </c>
      <c r="E241" s="1" t="s">
        <v>12</v>
      </c>
      <c r="F241" s="1" t="s">
        <v>8</v>
      </c>
      <c r="G241" s="5" t="str">
        <f t="shared" si="16"/>
        <v>DROP COLUMN IF EXISTS BCPREFER,</v>
      </c>
    </row>
    <row r="242">
      <c r="A242" s="1">
        <v>175.0</v>
      </c>
      <c r="B242" s="1" t="s">
        <v>561</v>
      </c>
      <c r="C242" s="2" t="s">
        <v>562</v>
      </c>
      <c r="D242" s="2" t="s">
        <v>287</v>
      </c>
      <c r="E242" s="1" t="s">
        <v>12</v>
      </c>
      <c r="F242" s="1" t="s">
        <v>13</v>
      </c>
      <c r="G242" s="5" t="str">
        <f t="shared" ref="G242:G247" si="17">concat("    ", concat(B242, ", "))</f>
        <v>    ASBIRDUC, </v>
      </c>
      <c r="H242" s="5" t="str">
        <f t="shared" ref="H242:H247" si="18">CONCAT(CONCAT(CONCAT(CONCAT("    SUM(IF(",B242), " IS NULL, 1, 0)) AS "), B242), "_nullcount, ")</f>
        <v>    SUM(IF(ASBIRDUC IS NULL, 1, 0)) AS ASBIRDUC_nullcount, </v>
      </c>
    </row>
    <row r="243">
      <c r="A243" s="1">
        <v>176.0</v>
      </c>
      <c r="B243" s="1" t="s">
        <v>563</v>
      </c>
      <c r="C243" s="2" t="s">
        <v>564</v>
      </c>
      <c r="D243" s="2" t="s">
        <v>287</v>
      </c>
      <c r="E243" s="1" t="s">
        <v>12</v>
      </c>
      <c r="F243" s="1" t="s">
        <v>13</v>
      </c>
      <c r="G243" s="5" t="str">
        <f t="shared" si="17"/>
        <v>    CASTHNO2, </v>
      </c>
      <c r="H243" s="5" t="str">
        <f t="shared" si="18"/>
        <v>    SUM(IF(CASTHNO2 IS NULL, 1, 0)) AS CASTHNO2_nullcount, </v>
      </c>
    </row>
    <row r="244">
      <c r="A244" s="1">
        <v>177.0</v>
      </c>
      <c r="B244" s="1" t="s">
        <v>565</v>
      </c>
      <c r="C244" s="2" t="s">
        <v>566</v>
      </c>
      <c r="D244" s="2" t="s">
        <v>567</v>
      </c>
      <c r="E244" s="1" t="s">
        <v>12</v>
      </c>
      <c r="F244" s="1" t="s">
        <v>13</v>
      </c>
      <c r="G244" s="5" t="str">
        <f t="shared" si="17"/>
        <v>    RRCLASS3, </v>
      </c>
      <c r="H244" s="5" t="str">
        <f t="shared" si="18"/>
        <v>    SUM(IF(RRCLASS3 IS NULL, 1, 0)) AS RRCLASS3_nullcount, </v>
      </c>
    </row>
    <row r="245">
      <c r="A245" s="1">
        <v>178.0</v>
      </c>
      <c r="B245" s="1" t="s">
        <v>568</v>
      </c>
      <c r="C245" s="2" t="s">
        <v>569</v>
      </c>
      <c r="D245" s="2" t="s">
        <v>570</v>
      </c>
      <c r="E245" s="1" t="s">
        <v>12</v>
      </c>
      <c r="F245" s="1" t="s">
        <v>13</v>
      </c>
      <c r="G245" s="5" t="str">
        <f t="shared" si="17"/>
        <v>    RRCOGNT2, </v>
      </c>
      <c r="H245" s="5" t="str">
        <f t="shared" si="18"/>
        <v>    SUM(IF(RRCOGNT2 IS NULL, 1, 0)) AS RRCOGNT2_nullcount, </v>
      </c>
    </row>
    <row r="246">
      <c r="A246" s="1">
        <v>179.0</v>
      </c>
      <c r="B246" s="1" t="s">
        <v>571</v>
      </c>
      <c r="C246" s="2" t="s">
        <v>572</v>
      </c>
      <c r="D246" s="2" t="s">
        <v>573</v>
      </c>
      <c r="E246" s="1" t="s">
        <v>12</v>
      </c>
      <c r="F246" s="1" t="s">
        <v>13</v>
      </c>
      <c r="G246" s="5" t="str">
        <f t="shared" si="17"/>
        <v>    RRTREAT, </v>
      </c>
      <c r="H246" s="5" t="str">
        <f t="shared" si="18"/>
        <v>    SUM(IF(RRTREAT IS NULL, 1, 0)) AS RRTREAT_nullcount, </v>
      </c>
    </row>
    <row r="247">
      <c r="A247" s="1">
        <v>180.0</v>
      </c>
      <c r="B247" s="1" t="s">
        <v>574</v>
      </c>
      <c r="C247" s="2" t="s">
        <v>575</v>
      </c>
      <c r="D247" s="2" t="s">
        <v>573</v>
      </c>
      <c r="E247" s="1" t="s">
        <v>12</v>
      </c>
      <c r="F247" s="1" t="s">
        <v>13</v>
      </c>
      <c r="G247" s="5" t="str">
        <f t="shared" si="17"/>
        <v>    RRATWRK2, </v>
      </c>
      <c r="H247" s="5" t="str">
        <f t="shared" si="18"/>
        <v>    SUM(IF(RRATWRK2 IS NULL, 1, 0)) AS RRATWRK2_nullcount, </v>
      </c>
    </row>
    <row r="248" hidden="1">
      <c r="A248" s="1"/>
      <c r="B248" s="1" t="s">
        <v>576</v>
      </c>
      <c r="C248" s="4"/>
      <c r="D248" s="2"/>
      <c r="E248" s="1" t="s">
        <v>12</v>
      </c>
      <c r="F248" s="1" t="s">
        <v>8</v>
      </c>
      <c r="G248" s="5" t="str">
        <f t="shared" ref="G248:G287" si="19">concat(concat("DROP COLUMN IF EXISTS ", B248), ",")</f>
        <v>DROP COLUMN IF EXISTS QSTVER,</v>
      </c>
    </row>
    <row r="249" hidden="1">
      <c r="A249" s="1"/>
      <c r="B249" s="1" t="s">
        <v>577</v>
      </c>
      <c r="C249" s="4"/>
      <c r="D249" s="2"/>
      <c r="E249" s="1" t="s">
        <v>12</v>
      </c>
      <c r="F249" s="1" t="s">
        <v>8</v>
      </c>
      <c r="G249" s="5" t="str">
        <f t="shared" si="19"/>
        <v>DROP COLUMN IF EXISTS QSTLANG,</v>
      </c>
    </row>
    <row r="250" hidden="1">
      <c r="A250" s="1"/>
      <c r="B250" s="1" t="s">
        <v>578</v>
      </c>
      <c r="C250" s="4"/>
      <c r="D250" s="2"/>
      <c r="E250" s="1" t="s">
        <v>12</v>
      </c>
      <c r="F250" s="1" t="s">
        <v>8</v>
      </c>
      <c r="G250" s="5" t="str">
        <f t="shared" si="19"/>
        <v>DROP COLUMN IF EXISTS _METSTAT,</v>
      </c>
    </row>
    <row r="251" hidden="1">
      <c r="A251" s="1"/>
      <c r="B251" s="1" t="s">
        <v>579</v>
      </c>
      <c r="C251" s="4"/>
      <c r="D251" s="2"/>
      <c r="E251" s="1" t="s">
        <v>12</v>
      </c>
      <c r="F251" s="1" t="s">
        <v>8</v>
      </c>
      <c r="G251" s="5" t="str">
        <f t="shared" si="19"/>
        <v>DROP COLUMN IF EXISTS _URBSTAT,</v>
      </c>
    </row>
    <row r="252" hidden="1">
      <c r="A252" s="1"/>
      <c r="B252" s="1" t="s">
        <v>580</v>
      </c>
      <c r="C252" s="4"/>
      <c r="D252" s="2"/>
      <c r="E252" s="1" t="s">
        <v>12</v>
      </c>
      <c r="F252" s="1" t="s">
        <v>8</v>
      </c>
      <c r="G252" s="5" t="str">
        <f t="shared" si="19"/>
        <v>DROP COLUMN IF EXISTS MSCODE,</v>
      </c>
    </row>
    <row r="253" hidden="1">
      <c r="A253" s="1"/>
      <c r="B253" s="1" t="s">
        <v>581</v>
      </c>
      <c r="C253" s="4"/>
      <c r="D253" s="2"/>
      <c r="E253" s="1" t="s">
        <v>12</v>
      </c>
      <c r="F253" s="1" t="s">
        <v>8</v>
      </c>
      <c r="G253" s="5" t="str">
        <f t="shared" si="19"/>
        <v>DROP COLUMN IF EXISTS _STSTR,</v>
      </c>
    </row>
    <row r="254" hidden="1">
      <c r="A254" s="1"/>
      <c r="B254" s="1" t="s">
        <v>582</v>
      </c>
      <c r="C254" s="4"/>
      <c r="D254" s="2"/>
      <c r="E254" s="1" t="s">
        <v>12</v>
      </c>
      <c r="F254" s="1" t="s">
        <v>8</v>
      </c>
      <c r="G254" s="5" t="str">
        <f t="shared" si="19"/>
        <v>DROP COLUMN IF EXISTS _STRWT,</v>
      </c>
    </row>
    <row r="255" hidden="1">
      <c r="A255" s="1"/>
      <c r="B255" s="1" t="s">
        <v>583</v>
      </c>
      <c r="C255" s="4"/>
      <c r="D255" s="2"/>
      <c r="E255" s="1" t="s">
        <v>12</v>
      </c>
      <c r="F255" s="1" t="s">
        <v>8</v>
      </c>
      <c r="G255" s="5" t="str">
        <f t="shared" si="19"/>
        <v>DROP COLUMN IF EXISTS _RAWRAKE,</v>
      </c>
    </row>
    <row r="256" hidden="1">
      <c r="A256" s="1"/>
      <c r="B256" s="1" t="s">
        <v>584</v>
      </c>
      <c r="C256" s="4"/>
      <c r="D256" s="2"/>
      <c r="E256" s="1" t="s">
        <v>12</v>
      </c>
      <c r="F256" s="1" t="s">
        <v>8</v>
      </c>
      <c r="G256" s="5" t="str">
        <f t="shared" si="19"/>
        <v>DROP COLUMN IF EXISTS _WT2RAKE,</v>
      </c>
    </row>
    <row r="257" hidden="1">
      <c r="A257" s="1"/>
      <c r="B257" s="1" t="s">
        <v>585</v>
      </c>
      <c r="C257" s="4"/>
      <c r="D257" s="2"/>
      <c r="E257" s="1" t="s">
        <v>12</v>
      </c>
      <c r="F257" s="1" t="s">
        <v>8</v>
      </c>
      <c r="G257" s="5" t="str">
        <f t="shared" si="19"/>
        <v>DROP COLUMN IF EXISTS _IMPRACE,</v>
      </c>
    </row>
    <row r="258" hidden="1">
      <c r="A258" s="1"/>
      <c r="B258" s="1" t="s">
        <v>586</v>
      </c>
      <c r="C258" s="4"/>
      <c r="D258" s="2"/>
      <c r="E258" s="1" t="s">
        <v>12</v>
      </c>
      <c r="F258" s="1" t="s">
        <v>8</v>
      </c>
      <c r="G258" s="5" t="str">
        <f t="shared" si="19"/>
        <v>DROP COLUMN IF EXISTS _CHISPNC,</v>
      </c>
    </row>
    <row r="259" hidden="1">
      <c r="A259" s="1"/>
      <c r="B259" s="1" t="s">
        <v>587</v>
      </c>
      <c r="C259" s="4"/>
      <c r="D259" s="2"/>
      <c r="E259" s="1" t="s">
        <v>12</v>
      </c>
      <c r="F259" s="1" t="s">
        <v>8</v>
      </c>
      <c r="G259" s="5" t="str">
        <f t="shared" si="19"/>
        <v>DROP COLUMN IF EXISTS _CRACE2,</v>
      </c>
    </row>
    <row r="260" hidden="1">
      <c r="A260" s="1"/>
      <c r="B260" s="1" t="s">
        <v>588</v>
      </c>
      <c r="C260" s="4"/>
      <c r="D260" s="2"/>
      <c r="E260" s="1" t="s">
        <v>12</v>
      </c>
      <c r="F260" s="1" t="s">
        <v>8</v>
      </c>
      <c r="G260" s="5" t="str">
        <f t="shared" si="19"/>
        <v>DROP COLUMN IF EXISTS _CPRACE2,</v>
      </c>
    </row>
    <row r="261" hidden="1">
      <c r="A261" s="1"/>
      <c r="B261" s="1" t="s">
        <v>589</v>
      </c>
      <c r="C261" s="4"/>
      <c r="D261" s="2"/>
      <c r="E261" s="1" t="s">
        <v>12</v>
      </c>
      <c r="F261" s="1" t="s">
        <v>8</v>
      </c>
      <c r="G261" s="5" t="str">
        <f t="shared" si="19"/>
        <v>DROP COLUMN IF EXISTS CAGEG,</v>
      </c>
    </row>
    <row r="262" hidden="1">
      <c r="A262" s="1"/>
      <c r="B262" s="1" t="s">
        <v>590</v>
      </c>
      <c r="C262" s="4"/>
      <c r="D262" s="2"/>
      <c r="E262" s="1" t="s">
        <v>12</v>
      </c>
      <c r="F262" s="1" t="s">
        <v>8</v>
      </c>
      <c r="G262" s="5" t="str">
        <f t="shared" si="19"/>
        <v>DROP COLUMN IF EXISTS _CLLCPWT,</v>
      </c>
    </row>
    <row r="263" hidden="1">
      <c r="A263" s="1"/>
      <c r="B263" s="1" t="s">
        <v>591</v>
      </c>
      <c r="C263" s="4"/>
      <c r="D263" s="2"/>
      <c r="E263" s="1" t="s">
        <v>12</v>
      </c>
      <c r="F263" s="1" t="s">
        <v>8</v>
      </c>
      <c r="G263" s="5" t="str">
        <f t="shared" si="19"/>
        <v>DROP COLUMN IF EXISTS _DUALUSE,</v>
      </c>
    </row>
    <row r="264" hidden="1">
      <c r="A264" s="1"/>
      <c r="B264" s="1" t="s">
        <v>592</v>
      </c>
      <c r="C264" s="4"/>
      <c r="D264" s="2"/>
      <c r="E264" s="1" t="s">
        <v>12</v>
      </c>
      <c r="F264" s="1" t="s">
        <v>8</v>
      </c>
      <c r="G264" s="5" t="str">
        <f t="shared" si="19"/>
        <v>DROP COLUMN IF EXISTS _DUALCOR,</v>
      </c>
    </row>
    <row r="265" hidden="1">
      <c r="A265" s="1"/>
      <c r="B265" s="1" t="s">
        <v>593</v>
      </c>
      <c r="C265" s="4"/>
      <c r="D265" s="2"/>
      <c r="E265" s="1" t="s">
        <v>12</v>
      </c>
      <c r="F265" s="1" t="s">
        <v>8</v>
      </c>
      <c r="G265" s="5" t="str">
        <f t="shared" si="19"/>
        <v>DROP COLUMN IF EXISTS _LLCPWT2,</v>
      </c>
    </row>
    <row r="266" hidden="1">
      <c r="A266" s="1"/>
      <c r="B266" s="1" t="s">
        <v>594</v>
      </c>
      <c r="C266" s="4"/>
      <c r="D266" s="2"/>
      <c r="E266" s="1" t="s">
        <v>12</v>
      </c>
      <c r="F266" s="1" t="s">
        <v>8</v>
      </c>
      <c r="G266" s="5" t="str">
        <f t="shared" si="19"/>
        <v>DROP COLUMN IF EXISTS _LLCPWT,</v>
      </c>
    </row>
    <row r="267" hidden="1">
      <c r="A267" s="1"/>
      <c r="B267" s="1" t="s">
        <v>595</v>
      </c>
      <c r="C267" s="4"/>
      <c r="D267" s="2"/>
      <c r="E267" s="1" t="s">
        <v>12</v>
      </c>
      <c r="F267" s="1" t="s">
        <v>8</v>
      </c>
      <c r="G267" s="5" t="str">
        <f t="shared" si="19"/>
        <v>DROP COLUMN IF EXISTS _RFHLTH,</v>
      </c>
    </row>
    <row r="268" hidden="1">
      <c r="A268" s="1"/>
      <c r="B268" s="1" t="s">
        <v>596</v>
      </c>
      <c r="C268" s="4"/>
      <c r="D268" s="2"/>
      <c r="E268" s="1" t="s">
        <v>12</v>
      </c>
      <c r="F268" s="1" t="s">
        <v>8</v>
      </c>
      <c r="G268" s="5" t="str">
        <f t="shared" si="19"/>
        <v>DROP COLUMN IF EXISTS _PHYS14D,</v>
      </c>
    </row>
    <row r="269" hidden="1">
      <c r="A269" s="1"/>
      <c r="B269" s="1" t="s">
        <v>597</v>
      </c>
      <c r="C269" s="4"/>
      <c r="D269" s="2"/>
      <c r="E269" s="1" t="s">
        <v>12</v>
      </c>
      <c r="F269" s="1" t="s">
        <v>8</v>
      </c>
      <c r="G269" s="5" t="str">
        <f t="shared" si="19"/>
        <v>DROP COLUMN IF EXISTS _MENT14D,</v>
      </c>
    </row>
    <row r="270" hidden="1">
      <c r="A270" s="1"/>
      <c r="B270" s="1" t="s">
        <v>598</v>
      </c>
      <c r="C270" s="4"/>
      <c r="D270" s="2"/>
      <c r="E270" s="1" t="s">
        <v>12</v>
      </c>
      <c r="F270" s="1" t="s">
        <v>8</v>
      </c>
      <c r="G270" s="5" t="str">
        <f t="shared" si="19"/>
        <v>DROP COLUMN IF EXISTS _HLTHPLN,</v>
      </c>
    </row>
    <row r="271" hidden="1">
      <c r="A271" s="1"/>
      <c r="B271" s="1" t="s">
        <v>599</v>
      </c>
      <c r="C271" s="4"/>
      <c r="D271" s="2"/>
      <c r="E271" s="1" t="s">
        <v>12</v>
      </c>
      <c r="F271" s="1" t="s">
        <v>8</v>
      </c>
      <c r="G271" s="5" t="str">
        <f t="shared" si="19"/>
        <v>DROP COLUMN IF EXISTS _HCVU652,</v>
      </c>
    </row>
    <row r="272" hidden="1">
      <c r="A272" s="1"/>
      <c r="B272" s="1" t="s">
        <v>600</v>
      </c>
      <c r="C272" s="4"/>
      <c r="D272" s="2"/>
      <c r="E272" s="1" t="s">
        <v>12</v>
      </c>
      <c r="F272" s="1" t="s">
        <v>8</v>
      </c>
      <c r="G272" s="5" t="str">
        <f t="shared" si="19"/>
        <v>DROP COLUMN IF EXISTS _TOTINDA,</v>
      </c>
    </row>
    <row r="273" hidden="1">
      <c r="A273" s="1"/>
      <c r="B273" s="1" t="s">
        <v>601</v>
      </c>
      <c r="C273" s="4"/>
      <c r="D273" s="2"/>
      <c r="E273" s="1" t="s">
        <v>12</v>
      </c>
      <c r="F273" s="1" t="s">
        <v>8</v>
      </c>
      <c r="G273" s="5" t="str">
        <f t="shared" si="19"/>
        <v>DROP COLUMN IF EXISTS _EXTETH3,</v>
      </c>
    </row>
    <row r="274" hidden="1">
      <c r="A274" s="1"/>
      <c r="B274" s="1" t="s">
        <v>602</v>
      </c>
      <c r="C274" s="4"/>
      <c r="D274" s="2"/>
      <c r="E274" s="1" t="s">
        <v>12</v>
      </c>
      <c r="F274" s="1" t="s">
        <v>8</v>
      </c>
      <c r="G274" s="5" t="str">
        <f t="shared" si="19"/>
        <v>DROP COLUMN IF EXISTS _ALTETH3,</v>
      </c>
    </row>
    <row r="275" hidden="1">
      <c r="A275" s="1"/>
      <c r="B275" s="1" t="s">
        <v>603</v>
      </c>
      <c r="C275" s="4"/>
      <c r="D275" s="2"/>
      <c r="E275" s="1" t="s">
        <v>12</v>
      </c>
      <c r="F275" s="1" t="s">
        <v>8</v>
      </c>
      <c r="G275" s="5" t="str">
        <f t="shared" si="19"/>
        <v>DROP COLUMN IF EXISTS _DENVST3,</v>
      </c>
    </row>
    <row r="276" hidden="1">
      <c r="A276" s="1"/>
      <c r="B276" s="1" t="s">
        <v>604</v>
      </c>
      <c r="C276" s="4"/>
      <c r="D276" s="2"/>
      <c r="E276" s="1" t="s">
        <v>12</v>
      </c>
      <c r="F276" s="1" t="s">
        <v>8</v>
      </c>
      <c r="G276" s="5" t="str">
        <f t="shared" si="19"/>
        <v>DROP COLUMN IF EXISTS _MICHD,</v>
      </c>
    </row>
    <row r="277" hidden="1">
      <c r="A277" s="1"/>
      <c r="B277" s="1" t="s">
        <v>605</v>
      </c>
      <c r="C277" s="4"/>
      <c r="D277" s="2"/>
      <c r="E277" s="1" t="s">
        <v>12</v>
      </c>
      <c r="F277" s="1" t="s">
        <v>8</v>
      </c>
      <c r="G277" s="5" t="str">
        <f t="shared" si="19"/>
        <v>DROP COLUMN IF EXISTS _LTASTH1,</v>
      </c>
    </row>
    <row r="278" hidden="1">
      <c r="A278" s="1"/>
      <c r="B278" s="1" t="s">
        <v>606</v>
      </c>
      <c r="C278" s="4"/>
      <c r="D278" s="2"/>
      <c r="E278" s="1" t="s">
        <v>12</v>
      </c>
      <c r="F278" s="1" t="s">
        <v>8</v>
      </c>
      <c r="G278" s="5" t="str">
        <f t="shared" si="19"/>
        <v>DROP COLUMN IF EXISTS _CASTHM1,</v>
      </c>
    </row>
    <row r="279" hidden="1">
      <c r="A279" s="1"/>
      <c r="B279" s="1" t="s">
        <v>607</v>
      </c>
      <c r="C279" s="4"/>
      <c r="D279" s="2"/>
      <c r="E279" s="1" t="s">
        <v>12</v>
      </c>
      <c r="F279" s="1" t="s">
        <v>8</v>
      </c>
      <c r="G279" s="5" t="str">
        <f t="shared" si="19"/>
        <v>DROP COLUMN IF EXISTS _ASTHMS1,</v>
      </c>
    </row>
    <row r="280" hidden="1">
      <c r="A280" s="1"/>
      <c r="B280" s="1" t="s">
        <v>608</v>
      </c>
      <c r="C280" s="4"/>
      <c r="D280" s="2"/>
      <c r="E280" s="1" t="s">
        <v>12</v>
      </c>
      <c r="F280" s="1" t="s">
        <v>8</v>
      </c>
      <c r="G280" s="5" t="str">
        <f t="shared" si="19"/>
        <v>DROP COLUMN IF EXISTS _DRDXAR2,</v>
      </c>
    </row>
    <row r="281" hidden="1">
      <c r="A281" s="1"/>
      <c r="B281" s="1" t="s">
        <v>609</v>
      </c>
      <c r="C281" s="4"/>
      <c r="D281" s="2"/>
      <c r="E281" s="1" t="s">
        <v>12</v>
      </c>
      <c r="F281" s="1" t="s">
        <v>8</v>
      </c>
      <c r="G281" s="5" t="str">
        <f t="shared" si="19"/>
        <v>DROP COLUMN IF EXISTS _PRACE2,</v>
      </c>
    </row>
    <row r="282" hidden="1">
      <c r="A282" s="1"/>
      <c r="B282" s="1" t="s">
        <v>610</v>
      </c>
      <c r="C282" s="4"/>
      <c r="D282" s="2"/>
      <c r="E282" s="1" t="s">
        <v>12</v>
      </c>
      <c r="F282" s="1" t="s">
        <v>8</v>
      </c>
      <c r="G282" s="5" t="str">
        <f t="shared" si="19"/>
        <v>DROP COLUMN IF EXISTS _MRACE2,</v>
      </c>
    </row>
    <row r="283" hidden="1">
      <c r="A283" s="1"/>
      <c r="B283" s="1" t="s">
        <v>611</v>
      </c>
      <c r="C283" s="4"/>
      <c r="D283" s="2"/>
      <c r="E283" s="1" t="s">
        <v>12</v>
      </c>
      <c r="F283" s="1" t="s">
        <v>8</v>
      </c>
      <c r="G283" s="5" t="str">
        <f t="shared" si="19"/>
        <v>DROP COLUMN IF EXISTS _HISPANC,</v>
      </c>
    </row>
    <row r="284" hidden="1">
      <c r="A284" s="1"/>
      <c r="B284" s="1" t="s">
        <v>612</v>
      </c>
      <c r="C284" s="4"/>
      <c r="D284" s="2"/>
      <c r="E284" s="1" t="s">
        <v>12</v>
      </c>
      <c r="F284" s="1" t="s">
        <v>8</v>
      </c>
      <c r="G284" s="5" t="str">
        <f t="shared" si="19"/>
        <v>DROP COLUMN IF EXISTS _RACE1,</v>
      </c>
    </row>
    <row r="285" hidden="1">
      <c r="A285" s="1"/>
      <c r="B285" s="1" t="s">
        <v>613</v>
      </c>
      <c r="C285" s="4"/>
      <c r="D285" s="2"/>
      <c r="E285" s="1" t="s">
        <v>12</v>
      </c>
      <c r="F285" s="1" t="s">
        <v>8</v>
      </c>
      <c r="G285" s="5" t="str">
        <f t="shared" si="19"/>
        <v>DROP COLUMN IF EXISTS _RACEG22,</v>
      </c>
    </row>
    <row r="286" hidden="1">
      <c r="A286" s="1"/>
      <c r="B286" s="1" t="s">
        <v>614</v>
      </c>
      <c r="C286" s="4"/>
      <c r="D286" s="2"/>
      <c r="E286" s="1" t="s">
        <v>12</v>
      </c>
      <c r="F286" s="1" t="s">
        <v>8</v>
      </c>
      <c r="G286" s="5" t="str">
        <f t="shared" si="19"/>
        <v>DROP COLUMN IF EXISTS _RACEGR4,</v>
      </c>
    </row>
    <row r="287" hidden="1">
      <c r="A287" s="1"/>
      <c r="B287" s="1" t="s">
        <v>615</v>
      </c>
      <c r="C287" s="4"/>
      <c r="D287" s="2"/>
      <c r="E287" s="1" t="s">
        <v>12</v>
      </c>
      <c r="F287" s="1" t="s">
        <v>8</v>
      </c>
      <c r="G287" s="5" t="str">
        <f t="shared" si="19"/>
        <v>DROP COLUMN IF EXISTS _RACEPR1,</v>
      </c>
    </row>
    <row r="288">
      <c r="A288" s="1">
        <v>181.0</v>
      </c>
      <c r="B288" s="1" t="s">
        <v>616</v>
      </c>
      <c r="C288" s="2" t="s">
        <v>617</v>
      </c>
      <c r="D288" s="2" t="s">
        <v>573</v>
      </c>
      <c r="E288" s="1" t="s">
        <v>12</v>
      </c>
      <c r="F288" s="1" t="s">
        <v>13</v>
      </c>
      <c r="G288" s="5" t="str">
        <f>concat("    ", concat(B288, ", "))</f>
        <v>    RRHCARE4, </v>
      </c>
      <c r="H288" s="5" t="str">
        <f>CONCAT(CONCAT(CONCAT(CONCAT("    SUM(IF(",B288), " IS NULL, 1, 0)) AS "), B288), "_nullcount, ")</f>
        <v>    SUM(IF(RRHCARE4 IS NULL, 1, 0)) AS RRHCARE4_nullcount, </v>
      </c>
    </row>
    <row r="289" hidden="1">
      <c r="A289" s="1"/>
      <c r="B289" s="1" t="s">
        <v>618</v>
      </c>
      <c r="C289" s="4"/>
      <c r="D289" s="2"/>
      <c r="E289" s="1" t="s">
        <v>12</v>
      </c>
      <c r="F289" s="1" t="s">
        <v>8</v>
      </c>
      <c r="G289" s="5" t="str">
        <f t="shared" ref="G289:G290" si="20">concat(concat("DROP COLUMN IF EXISTS ", B289), ",")</f>
        <v>DROP COLUMN IF EXISTS _AGEG5YR,</v>
      </c>
    </row>
    <row r="290" hidden="1">
      <c r="A290" s="1"/>
      <c r="B290" s="1" t="s">
        <v>619</v>
      </c>
      <c r="C290" s="4"/>
      <c r="D290" s="2"/>
      <c r="E290" s="1" t="s">
        <v>12</v>
      </c>
      <c r="F290" s="1" t="s">
        <v>8</v>
      </c>
      <c r="G290" s="5" t="str">
        <f t="shared" si="20"/>
        <v>DROP COLUMN IF EXISTS _AGE65YR,</v>
      </c>
    </row>
    <row r="291">
      <c r="A291" s="1">
        <v>182.0</v>
      </c>
      <c r="B291" s="1" t="s">
        <v>620</v>
      </c>
      <c r="C291" s="2" t="s">
        <v>621</v>
      </c>
      <c r="D291" s="2" t="s">
        <v>80</v>
      </c>
      <c r="E291" s="1" t="s">
        <v>12</v>
      </c>
      <c r="F291" s="1" t="s">
        <v>13</v>
      </c>
      <c r="G291" s="5" t="str">
        <f>concat("    ", concat(B291, ", "))</f>
        <v>    RRPHYSM2, </v>
      </c>
      <c r="H291" s="5" t="str">
        <f>CONCAT(CONCAT(CONCAT(CONCAT("    SUM(IF(",B291), " IS NULL, 1, 0)) AS "), B291), "_nullcount, ")</f>
        <v>    SUM(IF(RRPHYSM2 IS NULL, 1, 0)) AS RRPHYSM2_nullcount, </v>
      </c>
    </row>
    <row r="292" hidden="1">
      <c r="A292" s="1"/>
      <c r="B292" s="1" t="s">
        <v>622</v>
      </c>
      <c r="C292" s="4"/>
      <c r="D292" s="2"/>
      <c r="E292" s="1" t="s">
        <v>12</v>
      </c>
      <c r="F292" s="1" t="s">
        <v>8</v>
      </c>
      <c r="G292" s="5" t="str">
        <f t="shared" ref="G292:G330" si="21">concat(concat("DROP COLUMN IF EXISTS ", B292), ",")</f>
        <v>DROP COLUMN IF EXISTS _AGE_G,</v>
      </c>
    </row>
    <row r="293" hidden="1">
      <c r="A293" s="1"/>
      <c r="B293" s="1" t="s">
        <v>623</v>
      </c>
      <c r="C293" s="4"/>
      <c r="D293" s="2"/>
      <c r="E293" s="1" t="s">
        <v>12</v>
      </c>
      <c r="F293" s="1" t="s">
        <v>8</v>
      </c>
      <c r="G293" s="5" t="str">
        <f t="shared" si="21"/>
        <v>DROP COLUMN IF EXISTS HTIN4,</v>
      </c>
    </row>
    <row r="294" hidden="1">
      <c r="A294" s="1"/>
      <c r="B294" s="1" t="s">
        <v>624</v>
      </c>
      <c r="C294" s="4"/>
      <c r="D294" s="2"/>
      <c r="E294" s="1" t="s">
        <v>12</v>
      </c>
      <c r="F294" s="1" t="s">
        <v>8</v>
      </c>
      <c r="G294" s="5" t="str">
        <f t="shared" si="21"/>
        <v>DROP COLUMN IF EXISTS HTM4,</v>
      </c>
    </row>
    <row r="295" hidden="1">
      <c r="A295" s="1"/>
      <c r="B295" s="1" t="s">
        <v>625</v>
      </c>
      <c r="C295" s="4"/>
      <c r="D295" s="2"/>
      <c r="E295" s="1" t="s">
        <v>12</v>
      </c>
      <c r="F295" s="1" t="s">
        <v>8</v>
      </c>
      <c r="G295" s="5" t="str">
        <f t="shared" si="21"/>
        <v>DROP COLUMN IF EXISTS WTKG3,</v>
      </c>
    </row>
    <row r="296" hidden="1">
      <c r="A296" s="1"/>
      <c r="B296" s="1" t="s">
        <v>626</v>
      </c>
      <c r="C296" s="4"/>
      <c r="D296" s="2"/>
      <c r="E296" s="1" t="s">
        <v>12</v>
      </c>
      <c r="F296" s="1" t="s">
        <v>8</v>
      </c>
      <c r="G296" s="5" t="str">
        <f t="shared" si="21"/>
        <v>DROP COLUMN IF EXISTS _BMI5,</v>
      </c>
    </row>
    <row r="297" hidden="1">
      <c r="A297" s="1"/>
      <c r="B297" s="1" t="s">
        <v>627</v>
      </c>
      <c r="C297" s="4"/>
      <c r="D297" s="2"/>
      <c r="E297" s="1" t="s">
        <v>12</v>
      </c>
      <c r="F297" s="1" t="s">
        <v>8</v>
      </c>
      <c r="G297" s="5" t="str">
        <f t="shared" si="21"/>
        <v>DROP COLUMN IF EXISTS _BMI5CAT,</v>
      </c>
    </row>
    <row r="298" hidden="1">
      <c r="A298" s="1"/>
      <c r="B298" s="1" t="s">
        <v>628</v>
      </c>
      <c r="C298" s="4"/>
      <c r="D298" s="2"/>
      <c r="E298" s="1" t="s">
        <v>12</v>
      </c>
      <c r="F298" s="1" t="s">
        <v>8</v>
      </c>
      <c r="G298" s="5" t="str">
        <f t="shared" si="21"/>
        <v>DROP COLUMN IF EXISTS _RFBMI5,</v>
      </c>
    </row>
    <row r="299" hidden="1">
      <c r="A299" s="1"/>
      <c r="B299" s="1" t="s">
        <v>629</v>
      </c>
      <c r="C299" s="4"/>
      <c r="D299" s="2"/>
      <c r="E299" s="1" t="s">
        <v>12</v>
      </c>
      <c r="F299" s="1" t="s">
        <v>8</v>
      </c>
      <c r="G299" s="5" t="str">
        <f t="shared" si="21"/>
        <v>DROP COLUMN IF EXISTS _CHLDCNT,</v>
      </c>
    </row>
    <row r="300" hidden="1">
      <c r="A300" s="1"/>
      <c r="B300" s="1" t="s">
        <v>630</v>
      </c>
      <c r="C300" s="4"/>
      <c r="D300" s="2"/>
      <c r="E300" s="1" t="s">
        <v>12</v>
      </c>
      <c r="F300" s="1" t="s">
        <v>8</v>
      </c>
      <c r="G300" s="5" t="str">
        <f t="shared" si="21"/>
        <v>DROP COLUMN IF EXISTS _EDUCAG,</v>
      </c>
    </row>
    <row r="301" hidden="1">
      <c r="A301" s="1"/>
      <c r="B301" s="1" t="s">
        <v>631</v>
      </c>
      <c r="C301" s="4"/>
      <c r="D301" s="2"/>
      <c r="E301" s="1" t="s">
        <v>12</v>
      </c>
      <c r="F301" s="1" t="s">
        <v>8</v>
      </c>
      <c r="G301" s="5" t="str">
        <f t="shared" si="21"/>
        <v>DROP COLUMN IF EXISTS _INCOMG1,</v>
      </c>
    </row>
    <row r="302" hidden="1">
      <c r="A302" s="1"/>
      <c r="B302" s="1" t="s">
        <v>632</v>
      </c>
      <c r="C302" s="4"/>
      <c r="D302" s="2"/>
      <c r="E302" s="1" t="s">
        <v>12</v>
      </c>
      <c r="F302" s="1" t="s">
        <v>8</v>
      </c>
      <c r="G302" s="5" t="str">
        <f t="shared" si="21"/>
        <v>DROP COLUMN IF EXISTS _RFMAM22,</v>
      </c>
    </row>
    <row r="303" hidden="1">
      <c r="A303" s="1"/>
      <c r="B303" s="1" t="s">
        <v>633</v>
      </c>
      <c r="C303" s="4"/>
      <c r="D303" s="2"/>
      <c r="E303" s="1" t="s">
        <v>12</v>
      </c>
      <c r="F303" s="1" t="s">
        <v>8</v>
      </c>
      <c r="G303" s="5" t="str">
        <f t="shared" si="21"/>
        <v>DROP COLUMN IF EXISTS _MAM5023,</v>
      </c>
    </row>
    <row r="304" hidden="1">
      <c r="A304" s="1"/>
      <c r="B304" s="1" t="s">
        <v>634</v>
      </c>
      <c r="C304" s="4"/>
      <c r="D304" s="2"/>
      <c r="E304" s="1" t="s">
        <v>12</v>
      </c>
      <c r="F304" s="1" t="s">
        <v>8</v>
      </c>
      <c r="G304" s="5" t="str">
        <f t="shared" si="21"/>
        <v>DROP COLUMN IF EXISTS _HADCOLN,</v>
      </c>
    </row>
    <row r="305" hidden="1">
      <c r="A305" s="1"/>
      <c r="B305" s="1" t="s">
        <v>635</v>
      </c>
      <c r="C305" s="4"/>
      <c r="D305" s="2"/>
      <c r="E305" s="1" t="s">
        <v>12</v>
      </c>
      <c r="F305" s="1" t="s">
        <v>8</v>
      </c>
      <c r="G305" s="5" t="str">
        <f t="shared" si="21"/>
        <v>DROP COLUMN IF EXISTS _CLNSCP1,</v>
      </c>
    </row>
    <row r="306" hidden="1">
      <c r="A306" s="1"/>
      <c r="B306" s="1" t="s">
        <v>636</v>
      </c>
      <c r="C306" s="4"/>
      <c r="D306" s="2"/>
      <c r="E306" s="1" t="s">
        <v>12</v>
      </c>
      <c r="F306" s="1" t="s">
        <v>8</v>
      </c>
      <c r="G306" s="5" t="str">
        <f t="shared" si="21"/>
        <v>DROP COLUMN IF EXISTS _HADSIGM,</v>
      </c>
    </row>
    <row r="307" hidden="1">
      <c r="A307" s="1"/>
      <c r="B307" s="1" t="s">
        <v>637</v>
      </c>
      <c r="C307" s="4"/>
      <c r="D307" s="2"/>
      <c r="E307" s="1" t="s">
        <v>12</v>
      </c>
      <c r="F307" s="1" t="s">
        <v>8</v>
      </c>
      <c r="G307" s="5" t="str">
        <f t="shared" si="21"/>
        <v>DROP COLUMN IF EXISTS _SGMSCP1,</v>
      </c>
    </row>
    <row r="308" hidden="1">
      <c r="A308" s="1"/>
      <c r="B308" s="1" t="s">
        <v>638</v>
      </c>
      <c r="C308" s="4"/>
      <c r="D308" s="2"/>
      <c r="E308" s="1" t="s">
        <v>12</v>
      </c>
      <c r="F308" s="1" t="s">
        <v>8</v>
      </c>
      <c r="G308" s="5" t="str">
        <f t="shared" si="21"/>
        <v>DROP COLUMN IF EXISTS _SGMS101,</v>
      </c>
    </row>
    <row r="309" hidden="1">
      <c r="A309" s="1"/>
      <c r="B309" s="1" t="s">
        <v>639</v>
      </c>
      <c r="C309" s="4"/>
      <c r="D309" s="2"/>
      <c r="E309" s="1" t="s">
        <v>12</v>
      </c>
      <c r="F309" s="1" t="s">
        <v>8</v>
      </c>
      <c r="G309" s="5" t="str">
        <f t="shared" si="21"/>
        <v>DROP COLUMN IF EXISTS _RFBLDS5,</v>
      </c>
    </row>
    <row r="310" hidden="1">
      <c r="A310" s="1"/>
      <c r="B310" s="1" t="s">
        <v>640</v>
      </c>
      <c r="C310" s="4"/>
      <c r="D310" s="2"/>
      <c r="E310" s="1" t="s">
        <v>12</v>
      </c>
      <c r="F310" s="1" t="s">
        <v>8</v>
      </c>
      <c r="G310" s="5" t="str">
        <f t="shared" si="21"/>
        <v>DROP COLUMN IF EXISTS _STOLDN1,</v>
      </c>
    </row>
    <row r="311" hidden="1">
      <c r="A311" s="1"/>
      <c r="B311" s="1" t="s">
        <v>641</v>
      </c>
      <c r="C311" s="4"/>
      <c r="D311" s="2"/>
      <c r="E311" s="1" t="s">
        <v>12</v>
      </c>
      <c r="F311" s="1" t="s">
        <v>8</v>
      </c>
      <c r="G311" s="5" t="str">
        <f t="shared" si="21"/>
        <v>DROP COLUMN IF EXISTS _VIRCOL1,</v>
      </c>
    </row>
    <row r="312" hidden="1">
      <c r="A312" s="1"/>
      <c r="B312" s="1" t="s">
        <v>642</v>
      </c>
      <c r="C312" s="4"/>
      <c r="D312" s="2"/>
      <c r="E312" s="1" t="s">
        <v>12</v>
      </c>
      <c r="F312" s="1" t="s">
        <v>8</v>
      </c>
      <c r="G312" s="5" t="str">
        <f t="shared" si="21"/>
        <v>DROP COLUMN IF EXISTS _SBONTI1,</v>
      </c>
    </row>
    <row r="313" hidden="1">
      <c r="A313" s="1"/>
      <c r="B313" s="1" t="s">
        <v>643</v>
      </c>
      <c r="C313" s="4"/>
      <c r="D313" s="2"/>
      <c r="E313" s="1" t="s">
        <v>12</v>
      </c>
      <c r="F313" s="1" t="s">
        <v>8</v>
      </c>
      <c r="G313" s="5" t="str">
        <f t="shared" si="21"/>
        <v>DROP COLUMN IF EXISTS _CRCREC2,</v>
      </c>
    </row>
    <row r="314" hidden="1">
      <c r="A314" s="1"/>
      <c r="B314" s="1" t="s">
        <v>644</v>
      </c>
      <c r="C314" s="4"/>
      <c r="D314" s="2"/>
      <c r="E314" s="1" t="s">
        <v>12</v>
      </c>
      <c r="F314" s="1" t="s">
        <v>8</v>
      </c>
      <c r="G314" s="5" t="str">
        <f t="shared" si="21"/>
        <v>DROP COLUMN IF EXISTS _SMOKER3,</v>
      </c>
    </row>
    <row r="315" hidden="1">
      <c r="A315" s="1"/>
      <c r="B315" s="1" t="s">
        <v>645</v>
      </c>
      <c r="C315" s="4"/>
      <c r="D315" s="2"/>
      <c r="E315" s="1" t="s">
        <v>12</v>
      </c>
      <c r="F315" s="1" t="s">
        <v>8</v>
      </c>
      <c r="G315" s="5" t="str">
        <f t="shared" si="21"/>
        <v>DROP COLUMN IF EXISTS _RFSMOK3,</v>
      </c>
    </row>
    <row r="316" hidden="1">
      <c r="A316" s="1"/>
      <c r="B316" s="1" t="s">
        <v>646</v>
      </c>
      <c r="C316" s="4"/>
      <c r="D316" s="2"/>
      <c r="E316" s="1" t="s">
        <v>12</v>
      </c>
      <c r="F316" s="1" t="s">
        <v>8</v>
      </c>
      <c r="G316" s="5" t="str">
        <f t="shared" si="21"/>
        <v>DROP COLUMN IF EXISTS _CURECI2,</v>
      </c>
    </row>
    <row r="317" hidden="1">
      <c r="A317" s="1"/>
      <c r="B317" s="1" t="s">
        <v>647</v>
      </c>
      <c r="C317" s="4"/>
      <c r="D317" s="2"/>
      <c r="E317" s="1" t="s">
        <v>12</v>
      </c>
      <c r="F317" s="1" t="s">
        <v>8</v>
      </c>
      <c r="G317" s="5" t="str">
        <f t="shared" si="21"/>
        <v>DROP COLUMN IF EXISTS _YRSSMOK,</v>
      </c>
    </row>
    <row r="318" hidden="1">
      <c r="A318" s="1"/>
      <c r="B318" s="1" t="s">
        <v>648</v>
      </c>
      <c r="C318" s="4"/>
      <c r="D318" s="2"/>
      <c r="E318" s="1" t="s">
        <v>12</v>
      </c>
      <c r="F318" s="1" t="s">
        <v>8</v>
      </c>
      <c r="G318" s="5" t="str">
        <f t="shared" si="21"/>
        <v>DROP COLUMN IF EXISTS _PACKDAY,</v>
      </c>
    </row>
    <row r="319" hidden="1">
      <c r="A319" s="1"/>
      <c r="B319" s="1" t="s">
        <v>649</v>
      </c>
      <c r="C319" s="4"/>
      <c r="D319" s="2"/>
      <c r="E319" s="1" t="s">
        <v>12</v>
      </c>
      <c r="F319" s="1" t="s">
        <v>8</v>
      </c>
      <c r="G319" s="5" t="str">
        <f t="shared" si="21"/>
        <v>DROP COLUMN IF EXISTS _PACKYRS,</v>
      </c>
    </row>
    <row r="320" hidden="1">
      <c r="A320" s="1"/>
      <c r="B320" s="1" t="s">
        <v>650</v>
      </c>
      <c r="C320" s="4"/>
      <c r="D320" s="2"/>
      <c r="E320" s="1" t="s">
        <v>12</v>
      </c>
      <c r="F320" s="1" t="s">
        <v>8</v>
      </c>
      <c r="G320" s="5" t="str">
        <f t="shared" si="21"/>
        <v>DROP COLUMN IF EXISTS _YRSQUIT,</v>
      </c>
    </row>
    <row r="321" hidden="1">
      <c r="A321" s="1"/>
      <c r="B321" s="1" t="s">
        <v>651</v>
      </c>
      <c r="C321" s="4"/>
      <c r="D321" s="2"/>
      <c r="E321" s="1" t="s">
        <v>12</v>
      </c>
      <c r="F321" s="1" t="s">
        <v>8</v>
      </c>
      <c r="G321" s="5" t="str">
        <f t="shared" si="21"/>
        <v>DROP COLUMN IF EXISTS _SMOKGRP,</v>
      </c>
    </row>
    <row r="322" hidden="1">
      <c r="A322" s="1"/>
      <c r="B322" s="1" t="s">
        <v>652</v>
      </c>
      <c r="C322" s="4"/>
      <c r="D322" s="2"/>
      <c r="E322" s="1" t="s">
        <v>12</v>
      </c>
      <c r="F322" s="1" t="s">
        <v>8</v>
      </c>
      <c r="G322" s="5" t="str">
        <f t="shared" si="21"/>
        <v>DROP COLUMN IF EXISTS _LCSREC,</v>
      </c>
    </row>
    <row r="323" hidden="1">
      <c r="A323" s="1"/>
      <c r="B323" s="1" t="s">
        <v>653</v>
      </c>
      <c r="C323" s="4"/>
      <c r="D323" s="2"/>
      <c r="E323" s="1" t="s">
        <v>12</v>
      </c>
      <c r="F323" s="1" t="s">
        <v>8</v>
      </c>
      <c r="G323" s="5" t="str">
        <f t="shared" si="21"/>
        <v>DROP COLUMN IF EXISTS DRNKANY6,</v>
      </c>
    </row>
    <row r="324" hidden="1">
      <c r="A324" s="1"/>
      <c r="B324" s="1" t="s">
        <v>654</v>
      </c>
      <c r="C324" s="4"/>
      <c r="D324" s="2"/>
      <c r="E324" s="1" t="s">
        <v>12</v>
      </c>
      <c r="F324" s="1" t="s">
        <v>8</v>
      </c>
      <c r="G324" s="5" t="str">
        <f t="shared" si="21"/>
        <v>DROP COLUMN IF EXISTS DROCDY4_,</v>
      </c>
    </row>
    <row r="325" hidden="1">
      <c r="A325" s="1"/>
      <c r="B325" s="1" t="s">
        <v>655</v>
      </c>
      <c r="C325" s="4"/>
      <c r="D325" s="2"/>
      <c r="E325" s="1" t="s">
        <v>12</v>
      </c>
      <c r="F325" s="1" t="s">
        <v>8</v>
      </c>
      <c r="G325" s="5" t="str">
        <f t="shared" si="21"/>
        <v>DROP COLUMN IF EXISTS _RFBING6,</v>
      </c>
    </row>
    <row r="326" hidden="1">
      <c r="A326" s="1"/>
      <c r="B326" s="1" t="s">
        <v>656</v>
      </c>
      <c r="C326" s="4"/>
      <c r="D326" s="2"/>
      <c r="E326" s="1" t="s">
        <v>12</v>
      </c>
      <c r="F326" s="1" t="s">
        <v>8</v>
      </c>
      <c r="G326" s="5" t="str">
        <f t="shared" si="21"/>
        <v>DROP COLUMN IF EXISTS _DRNKWK2,</v>
      </c>
    </row>
    <row r="327" hidden="1">
      <c r="A327" s="1"/>
      <c r="B327" s="1" t="s">
        <v>657</v>
      </c>
      <c r="C327" s="4"/>
      <c r="D327" s="2"/>
      <c r="E327" s="1" t="s">
        <v>12</v>
      </c>
      <c r="F327" s="1" t="s">
        <v>8</v>
      </c>
      <c r="G327" s="5" t="str">
        <f t="shared" si="21"/>
        <v>DROP COLUMN IF EXISTS _RFDRHV8,</v>
      </c>
    </row>
    <row r="328" hidden="1">
      <c r="A328" s="1"/>
      <c r="B328" s="1" t="s">
        <v>658</v>
      </c>
      <c r="C328" s="4"/>
      <c r="D328" s="2"/>
      <c r="E328" s="1" t="s">
        <v>12</v>
      </c>
      <c r="F328" s="1" t="s">
        <v>8</v>
      </c>
      <c r="G328" s="5" t="str">
        <f t="shared" si="21"/>
        <v>DROP COLUMN IF EXISTS _FLSHOT7,</v>
      </c>
    </row>
    <row r="329" hidden="1">
      <c r="A329" s="1"/>
      <c r="B329" s="1" t="s">
        <v>659</v>
      </c>
      <c r="C329" s="4"/>
      <c r="D329" s="2"/>
      <c r="E329" s="1" t="s">
        <v>12</v>
      </c>
      <c r="F329" s="1" t="s">
        <v>8</v>
      </c>
      <c r="G329" s="5" t="str">
        <f t="shared" si="21"/>
        <v>DROP COLUMN IF EXISTS _PNEUMO3,</v>
      </c>
    </row>
    <row r="330" hidden="1">
      <c r="A330" s="1"/>
      <c r="B330" s="1" t="s">
        <v>660</v>
      </c>
      <c r="C330" s="4"/>
      <c r="D330" s="2"/>
      <c r="E330" s="1" t="s">
        <v>12</v>
      </c>
      <c r="F330" s="1" t="s">
        <v>8</v>
      </c>
      <c r="G330" s="5" t="str">
        <f t="shared" si="21"/>
        <v>DROP COLUMN IF EXISTS _AIDTST4,</v>
      </c>
    </row>
    <row r="331">
      <c r="C331" s="4"/>
      <c r="D331" s="4"/>
    </row>
    <row r="332">
      <c r="C332" s="4"/>
      <c r="D332" s="4"/>
    </row>
    <row r="333">
      <c r="C333" s="4"/>
      <c r="D333" s="4"/>
    </row>
    <row r="334">
      <c r="C334" s="4"/>
      <c r="D334" s="4"/>
    </row>
    <row r="335">
      <c r="C335" s="4"/>
      <c r="D335" s="4"/>
    </row>
    <row r="336">
      <c r="C336" s="4"/>
      <c r="D336" s="4"/>
    </row>
    <row r="337">
      <c r="C337" s="4"/>
      <c r="D337" s="4"/>
    </row>
    <row r="338">
      <c r="C338" s="4"/>
      <c r="D338" s="4"/>
    </row>
    <row r="339">
      <c r="C339" s="4"/>
      <c r="D339" s="4"/>
    </row>
    <row r="340">
      <c r="C340" s="4"/>
      <c r="D340" s="4"/>
    </row>
    <row r="341">
      <c r="C341" s="4"/>
      <c r="D341" s="4"/>
    </row>
    <row r="342">
      <c r="C342" s="4"/>
      <c r="D342" s="4"/>
    </row>
    <row r="343">
      <c r="C343" s="4"/>
      <c r="D343" s="4"/>
    </row>
    <row r="344">
      <c r="C344" s="4"/>
      <c r="D344" s="4"/>
    </row>
    <row r="345">
      <c r="C345" s="4"/>
      <c r="D345" s="4"/>
    </row>
    <row r="346">
      <c r="C346" s="4"/>
      <c r="D346" s="4"/>
    </row>
    <row r="347">
      <c r="C347" s="4"/>
      <c r="D347" s="4"/>
    </row>
    <row r="348">
      <c r="C348" s="4"/>
      <c r="D348" s="4"/>
    </row>
    <row r="349">
      <c r="C349" s="4"/>
      <c r="D349" s="4"/>
    </row>
    <row r="350">
      <c r="C350" s="4"/>
      <c r="D350" s="4"/>
    </row>
    <row r="351">
      <c r="C351" s="4"/>
      <c r="D351" s="4"/>
    </row>
    <row r="352">
      <c r="C352" s="4"/>
      <c r="D352" s="4"/>
    </row>
    <row r="353">
      <c r="C353" s="4"/>
      <c r="D353" s="4"/>
    </row>
    <row r="354">
      <c r="C354" s="4"/>
      <c r="D354" s="4"/>
    </row>
    <row r="355">
      <c r="C355" s="4"/>
      <c r="D355" s="4"/>
    </row>
    <row r="356">
      <c r="C356" s="4"/>
      <c r="D356" s="4"/>
    </row>
    <row r="357">
      <c r="C357" s="4"/>
      <c r="D357" s="4"/>
    </row>
    <row r="358">
      <c r="C358" s="4"/>
      <c r="D358" s="4"/>
    </row>
    <row r="359">
      <c r="C359" s="4"/>
      <c r="D359" s="4"/>
    </row>
    <row r="360">
      <c r="C360" s="4"/>
      <c r="D360" s="4"/>
    </row>
    <row r="361">
      <c r="C361" s="4"/>
      <c r="D361" s="4"/>
    </row>
    <row r="362">
      <c r="C362" s="4"/>
      <c r="D362" s="4"/>
    </row>
    <row r="363">
      <c r="C363" s="4"/>
      <c r="D363" s="4"/>
    </row>
    <row r="364">
      <c r="C364" s="4"/>
      <c r="D364" s="4"/>
    </row>
    <row r="365">
      <c r="C365" s="4"/>
      <c r="D365" s="4"/>
    </row>
    <row r="366">
      <c r="C366" s="4"/>
      <c r="D366" s="4"/>
    </row>
    <row r="367">
      <c r="C367" s="4"/>
      <c r="D367" s="4"/>
    </row>
    <row r="368">
      <c r="C368" s="4"/>
      <c r="D368" s="4"/>
    </row>
    <row r="369">
      <c r="C369" s="4"/>
      <c r="D369" s="4"/>
    </row>
    <row r="370">
      <c r="C370" s="4"/>
      <c r="D370" s="4"/>
    </row>
    <row r="371">
      <c r="C371" s="4"/>
      <c r="D371" s="4"/>
    </row>
    <row r="372">
      <c r="C372" s="4"/>
      <c r="D372" s="4"/>
    </row>
    <row r="373">
      <c r="C373" s="4"/>
      <c r="D373" s="4"/>
    </row>
    <row r="374">
      <c r="C374" s="4"/>
      <c r="D374" s="4"/>
    </row>
    <row r="375">
      <c r="C375" s="4"/>
      <c r="D375" s="4"/>
    </row>
    <row r="376">
      <c r="C376" s="4"/>
      <c r="D376" s="4"/>
    </row>
    <row r="377">
      <c r="C377" s="4"/>
      <c r="D377" s="4"/>
    </row>
    <row r="378">
      <c r="C378" s="4"/>
      <c r="D378" s="4"/>
    </row>
    <row r="379">
      <c r="C379" s="4"/>
      <c r="D379" s="4"/>
    </row>
    <row r="380">
      <c r="C380" s="4"/>
      <c r="D380" s="4"/>
    </row>
    <row r="381">
      <c r="C381" s="4"/>
      <c r="D381" s="4"/>
    </row>
    <row r="382">
      <c r="C382" s="4"/>
      <c r="D382" s="4"/>
    </row>
    <row r="383">
      <c r="C383" s="4"/>
      <c r="D383" s="4"/>
    </row>
    <row r="384">
      <c r="C384" s="4"/>
      <c r="D384" s="4"/>
    </row>
    <row r="385">
      <c r="C385" s="4"/>
      <c r="D385" s="4"/>
    </row>
    <row r="386">
      <c r="C386" s="4"/>
      <c r="D386" s="4"/>
    </row>
    <row r="387">
      <c r="C387" s="4"/>
      <c r="D387" s="4"/>
    </row>
    <row r="388">
      <c r="C388" s="4"/>
      <c r="D388" s="4"/>
    </row>
    <row r="389">
      <c r="C389" s="4"/>
      <c r="D389" s="4"/>
    </row>
    <row r="390">
      <c r="C390" s="4"/>
      <c r="D390" s="4"/>
    </row>
    <row r="391">
      <c r="C391" s="4"/>
      <c r="D391" s="4"/>
    </row>
    <row r="392">
      <c r="C392" s="4"/>
      <c r="D392" s="4"/>
    </row>
    <row r="393">
      <c r="C393" s="4"/>
      <c r="D393" s="4"/>
    </row>
    <row r="394">
      <c r="C394" s="4"/>
      <c r="D394" s="4"/>
    </row>
    <row r="395">
      <c r="C395" s="4"/>
      <c r="D395" s="4"/>
    </row>
    <row r="396">
      <c r="C396" s="4"/>
      <c r="D396" s="4"/>
    </row>
    <row r="397">
      <c r="C397" s="4"/>
      <c r="D397" s="4"/>
    </row>
    <row r="398">
      <c r="C398" s="4"/>
      <c r="D398" s="4"/>
    </row>
    <row r="399">
      <c r="C399" s="4"/>
      <c r="D399" s="4"/>
    </row>
    <row r="400">
      <c r="C400" s="4"/>
      <c r="D400" s="4"/>
    </row>
    <row r="401">
      <c r="C401" s="4"/>
      <c r="D401" s="4"/>
    </row>
    <row r="402">
      <c r="C402" s="4"/>
      <c r="D402" s="4"/>
    </row>
    <row r="403">
      <c r="C403" s="4"/>
      <c r="D403" s="4"/>
    </row>
    <row r="404">
      <c r="C404" s="4"/>
      <c r="D404" s="4"/>
    </row>
    <row r="405">
      <c r="C405" s="4"/>
      <c r="D405" s="4"/>
    </row>
    <row r="406">
      <c r="C406" s="4"/>
      <c r="D406" s="4"/>
    </row>
    <row r="407">
      <c r="C407" s="4"/>
      <c r="D407" s="4"/>
    </row>
    <row r="408">
      <c r="C408" s="4"/>
      <c r="D408" s="4"/>
    </row>
    <row r="409">
      <c r="C409" s="4"/>
      <c r="D409" s="4"/>
    </row>
    <row r="410">
      <c r="C410" s="4"/>
      <c r="D410" s="4"/>
    </row>
    <row r="411">
      <c r="C411" s="4"/>
      <c r="D411" s="4"/>
    </row>
    <row r="412">
      <c r="C412" s="4"/>
      <c r="D412" s="4"/>
    </row>
    <row r="413">
      <c r="C413" s="4"/>
      <c r="D413" s="4"/>
    </row>
    <row r="414">
      <c r="C414" s="4"/>
      <c r="D414" s="4"/>
    </row>
    <row r="415">
      <c r="C415" s="4"/>
      <c r="D415" s="4"/>
    </row>
    <row r="416">
      <c r="C416" s="4"/>
      <c r="D416" s="4"/>
    </row>
    <row r="417">
      <c r="C417" s="4"/>
      <c r="D417" s="4"/>
    </row>
    <row r="418">
      <c r="C418" s="4"/>
      <c r="D418" s="4"/>
    </row>
    <row r="419">
      <c r="C419" s="4"/>
      <c r="D419" s="4"/>
    </row>
    <row r="420">
      <c r="C420" s="4"/>
      <c r="D420" s="4"/>
    </row>
    <row r="421">
      <c r="C421" s="4"/>
      <c r="D421" s="4"/>
    </row>
    <row r="422">
      <c r="C422" s="4"/>
      <c r="D422" s="4"/>
    </row>
    <row r="423">
      <c r="C423" s="4"/>
      <c r="D423" s="4"/>
    </row>
    <row r="424">
      <c r="C424" s="4"/>
      <c r="D424" s="4"/>
    </row>
    <row r="425">
      <c r="C425" s="4"/>
      <c r="D425" s="4"/>
    </row>
    <row r="426">
      <c r="C426" s="4"/>
      <c r="D426" s="4"/>
    </row>
    <row r="427">
      <c r="C427" s="4"/>
      <c r="D427" s="4"/>
    </row>
    <row r="428">
      <c r="C428" s="4"/>
      <c r="D428" s="4"/>
    </row>
    <row r="429">
      <c r="C429" s="4"/>
      <c r="D429" s="4"/>
    </row>
    <row r="430">
      <c r="C430" s="4"/>
      <c r="D430" s="4"/>
    </row>
    <row r="431">
      <c r="C431" s="4"/>
      <c r="D431" s="4"/>
    </row>
    <row r="432">
      <c r="C432" s="4"/>
      <c r="D432" s="4"/>
    </row>
    <row r="433">
      <c r="C433" s="4"/>
      <c r="D433" s="4"/>
    </row>
    <row r="434">
      <c r="C434" s="4"/>
      <c r="D434" s="4"/>
    </row>
    <row r="435">
      <c r="C435" s="4"/>
      <c r="D435" s="4"/>
    </row>
    <row r="436">
      <c r="C436" s="4"/>
      <c r="D436" s="4"/>
    </row>
    <row r="437">
      <c r="C437" s="4"/>
      <c r="D437" s="4"/>
    </row>
    <row r="438">
      <c r="C438" s="4"/>
      <c r="D438" s="4"/>
    </row>
    <row r="439">
      <c r="C439" s="4"/>
      <c r="D439" s="4"/>
    </row>
    <row r="440">
      <c r="C440" s="4"/>
      <c r="D440" s="4"/>
    </row>
    <row r="441">
      <c r="C441" s="4"/>
      <c r="D441" s="4"/>
    </row>
    <row r="442">
      <c r="C442" s="4"/>
      <c r="D442" s="4"/>
    </row>
    <row r="443">
      <c r="C443" s="4"/>
      <c r="D443" s="4"/>
    </row>
    <row r="444">
      <c r="C444" s="4"/>
      <c r="D444" s="4"/>
    </row>
    <row r="445">
      <c r="C445" s="4"/>
      <c r="D445" s="4"/>
    </row>
    <row r="446">
      <c r="C446" s="4"/>
      <c r="D446" s="4"/>
    </row>
    <row r="447">
      <c r="C447" s="4"/>
      <c r="D447" s="4"/>
    </row>
    <row r="448">
      <c r="C448" s="4"/>
      <c r="D448" s="4"/>
    </row>
    <row r="449">
      <c r="C449" s="4"/>
      <c r="D449" s="4"/>
    </row>
    <row r="450">
      <c r="C450" s="4"/>
      <c r="D450" s="4"/>
    </row>
    <row r="451">
      <c r="C451" s="4"/>
      <c r="D451" s="4"/>
    </row>
    <row r="452">
      <c r="C452" s="4"/>
      <c r="D452" s="4"/>
    </row>
    <row r="453">
      <c r="C453" s="4"/>
      <c r="D453" s="4"/>
    </row>
    <row r="454">
      <c r="C454" s="4"/>
      <c r="D454" s="4"/>
    </row>
    <row r="455">
      <c r="C455" s="4"/>
      <c r="D455" s="4"/>
    </row>
    <row r="456">
      <c r="C456" s="4"/>
      <c r="D456" s="4"/>
    </row>
    <row r="457">
      <c r="C457" s="4"/>
      <c r="D457" s="4"/>
    </row>
    <row r="458">
      <c r="C458" s="4"/>
      <c r="D458" s="4"/>
    </row>
    <row r="459">
      <c r="C459" s="4"/>
      <c r="D459" s="4"/>
    </row>
    <row r="460">
      <c r="C460" s="4"/>
      <c r="D460" s="4"/>
    </row>
    <row r="461">
      <c r="C461" s="4"/>
      <c r="D461" s="4"/>
    </row>
    <row r="462">
      <c r="C462" s="4"/>
      <c r="D462" s="4"/>
    </row>
    <row r="463">
      <c r="C463" s="4"/>
      <c r="D463" s="4"/>
    </row>
    <row r="464">
      <c r="C464" s="4"/>
      <c r="D464" s="4"/>
    </row>
    <row r="465">
      <c r="C465" s="4"/>
      <c r="D465" s="4"/>
    </row>
    <row r="466">
      <c r="C466" s="4"/>
      <c r="D466" s="4"/>
    </row>
    <row r="467">
      <c r="C467" s="4"/>
      <c r="D467" s="4"/>
    </row>
    <row r="468">
      <c r="C468" s="4"/>
      <c r="D468" s="4"/>
    </row>
    <row r="469">
      <c r="C469" s="4"/>
      <c r="D469" s="4"/>
    </row>
    <row r="470">
      <c r="C470" s="4"/>
      <c r="D470" s="4"/>
    </row>
    <row r="471">
      <c r="C471" s="4"/>
      <c r="D471" s="4"/>
    </row>
    <row r="472">
      <c r="C472" s="4"/>
      <c r="D472" s="4"/>
    </row>
    <row r="473">
      <c r="C473" s="4"/>
      <c r="D473" s="4"/>
    </row>
    <row r="474">
      <c r="C474" s="4"/>
      <c r="D474" s="4"/>
    </row>
    <row r="475">
      <c r="C475" s="4"/>
      <c r="D475" s="4"/>
    </row>
    <row r="476">
      <c r="C476" s="4"/>
      <c r="D476" s="4"/>
    </row>
    <row r="477">
      <c r="C477" s="4"/>
      <c r="D477" s="4"/>
    </row>
    <row r="478">
      <c r="C478" s="4"/>
      <c r="D478" s="4"/>
    </row>
    <row r="479">
      <c r="C479" s="4"/>
      <c r="D479" s="4"/>
    </row>
    <row r="480">
      <c r="C480" s="4"/>
      <c r="D480" s="4"/>
    </row>
    <row r="481">
      <c r="C481" s="4"/>
      <c r="D481" s="4"/>
    </row>
    <row r="482">
      <c r="C482" s="4"/>
      <c r="D482" s="4"/>
    </row>
    <row r="483">
      <c r="C483" s="4"/>
      <c r="D483" s="4"/>
    </row>
    <row r="484">
      <c r="C484" s="4"/>
      <c r="D484" s="4"/>
    </row>
    <row r="485">
      <c r="C485" s="4"/>
      <c r="D485" s="4"/>
    </row>
    <row r="486">
      <c r="C486" s="4"/>
      <c r="D486" s="4"/>
    </row>
    <row r="487">
      <c r="C487" s="4"/>
      <c r="D487" s="4"/>
    </row>
    <row r="488">
      <c r="C488" s="4"/>
      <c r="D488" s="4"/>
    </row>
    <row r="489">
      <c r="C489" s="4"/>
      <c r="D489" s="4"/>
    </row>
    <row r="490">
      <c r="C490" s="4"/>
      <c r="D490" s="4"/>
    </row>
    <row r="491">
      <c r="C491" s="4"/>
      <c r="D491" s="4"/>
    </row>
    <row r="492">
      <c r="C492" s="4"/>
      <c r="D492" s="4"/>
    </row>
    <row r="493">
      <c r="C493" s="4"/>
      <c r="D493" s="4"/>
    </row>
    <row r="494">
      <c r="C494" s="4"/>
      <c r="D494" s="4"/>
    </row>
    <row r="495">
      <c r="C495" s="4"/>
      <c r="D495" s="4"/>
    </row>
    <row r="496">
      <c r="C496" s="4"/>
      <c r="D496" s="4"/>
    </row>
    <row r="497">
      <c r="C497" s="4"/>
      <c r="D497" s="4"/>
    </row>
    <row r="498">
      <c r="C498" s="4"/>
      <c r="D498" s="4"/>
    </row>
    <row r="499">
      <c r="C499" s="4"/>
      <c r="D499" s="4"/>
    </row>
    <row r="500">
      <c r="C500" s="4"/>
      <c r="D500" s="4"/>
    </row>
    <row r="501">
      <c r="C501" s="4"/>
      <c r="D501" s="4"/>
    </row>
    <row r="502">
      <c r="C502" s="4"/>
      <c r="D502" s="4"/>
    </row>
    <row r="503">
      <c r="C503" s="4"/>
      <c r="D503" s="4"/>
    </row>
    <row r="504">
      <c r="C504" s="4"/>
      <c r="D504" s="4"/>
    </row>
    <row r="505">
      <c r="C505" s="4"/>
      <c r="D505" s="4"/>
    </row>
    <row r="506">
      <c r="C506" s="4"/>
      <c r="D506" s="4"/>
    </row>
    <row r="507">
      <c r="C507" s="4"/>
      <c r="D507" s="4"/>
    </row>
    <row r="508">
      <c r="C508" s="4"/>
      <c r="D508" s="4"/>
    </row>
    <row r="509">
      <c r="C509" s="4"/>
      <c r="D509" s="4"/>
    </row>
    <row r="510">
      <c r="C510" s="4"/>
      <c r="D510" s="4"/>
    </row>
    <row r="511">
      <c r="C511" s="4"/>
      <c r="D511" s="4"/>
    </row>
    <row r="512">
      <c r="C512" s="4"/>
      <c r="D512" s="4"/>
    </row>
    <row r="513">
      <c r="C513" s="4"/>
      <c r="D513" s="4"/>
    </row>
    <row r="514">
      <c r="C514" s="4"/>
      <c r="D514" s="4"/>
    </row>
    <row r="515">
      <c r="C515" s="4"/>
      <c r="D515" s="4"/>
    </row>
    <row r="516">
      <c r="C516" s="4"/>
      <c r="D516" s="4"/>
    </row>
    <row r="517">
      <c r="C517" s="4"/>
      <c r="D517" s="4"/>
    </row>
    <row r="518">
      <c r="C518" s="4"/>
      <c r="D518" s="4"/>
    </row>
    <row r="519">
      <c r="C519" s="4"/>
      <c r="D519" s="4"/>
    </row>
    <row r="520">
      <c r="C520" s="4"/>
      <c r="D520" s="4"/>
    </row>
    <row r="521">
      <c r="C521" s="4"/>
      <c r="D521" s="4"/>
    </row>
    <row r="522">
      <c r="C522" s="4"/>
      <c r="D522" s="4"/>
    </row>
    <row r="523">
      <c r="C523" s="4"/>
      <c r="D523" s="4"/>
    </row>
    <row r="524">
      <c r="C524" s="4"/>
      <c r="D524" s="4"/>
    </row>
    <row r="525">
      <c r="C525" s="4"/>
      <c r="D525" s="4"/>
    </row>
    <row r="526">
      <c r="C526" s="4"/>
      <c r="D526" s="4"/>
    </row>
    <row r="527">
      <c r="C527" s="4"/>
      <c r="D527" s="4"/>
    </row>
    <row r="528">
      <c r="C528" s="4"/>
      <c r="D528" s="4"/>
    </row>
    <row r="529">
      <c r="C529" s="4"/>
      <c r="D529" s="4"/>
    </row>
    <row r="530">
      <c r="C530" s="4"/>
      <c r="D530" s="4"/>
    </row>
    <row r="531">
      <c r="C531" s="4"/>
      <c r="D531" s="4"/>
    </row>
    <row r="532">
      <c r="C532" s="4"/>
      <c r="D532" s="4"/>
    </row>
    <row r="533">
      <c r="C533" s="4"/>
      <c r="D533" s="4"/>
    </row>
    <row r="534">
      <c r="C534" s="4"/>
      <c r="D534" s="4"/>
    </row>
    <row r="535">
      <c r="C535" s="4"/>
      <c r="D535" s="4"/>
    </row>
    <row r="536">
      <c r="C536" s="4"/>
      <c r="D536" s="4"/>
    </row>
    <row r="537">
      <c r="C537" s="4"/>
      <c r="D537" s="4"/>
    </row>
    <row r="538">
      <c r="C538" s="4"/>
      <c r="D538" s="4"/>
    </row>
    <row r="539">
      <c r="C539" s="4"/>
      <c r="D539" s="4"/>
    </row>
    <row r="540">
      <c r="C540" s="4"/>
      <c r="D540" s="4"/>
    </row>
    <row r="541">
      <c r="C541" s="4"/>
      <c r="D541" s="4"/>
    </row>
    <row r="542">
      <c r="C542" s="4"/>
      <c r="D542" s="4"/>
    </row>
    <row r="543">
      <c r="C543" s="4"/>
      <c r="D543" s="4"/>
    </row>
    <row r="544">
      <c r="C544" s="4"/>
      <c r="D544" s="4"/>
    </row>
    <row r="545">
      <c r="C545" s="4"/>
      <c r="D545" s="4"/>
    </row>
    <row r="546">
      <c r="C546" s="4"/>
      <c r="D546" s="4"/>
    </row>
    <row r="547">
      <c r="C547" s="4"/>
      <c r="D547" s="4"/>
    </row>
    <row r="548">
      <c r="C548" s="4"/>
      <c r="D548" s="4"/>
    </row>
    <row r="549">
      <c r="C549" s="4"/>
      <c r="D549" s="4"/>
    </row>
    <row r="550">
      <c r="C550" s="4"/>
      <c r="D550" s="4"/>
    </row>
    <row r="551">
      <c r="C551" s="4"/>
      <c r="D551" s="4"/>
    </row>
    <row r="552">
      <c r="C552" s="4"/>
      <c r="D552" s="4"/>
    </row>
    <row r="553">
      <c r="C553" s="4"/>
      <c r="D553" s="4"/>
    </row>
    <row r="554">
      <c r="C554" s="4"/>
      <c r="D554" s="4"/>
    </row>
    <row r="555">
      <c r="C555" s="4"/>
      <c r="D555" s="4"/>
    </row>
    <row r="556">
      <c r="C556" s="4"/>
      <c r="D556" s="4"/>
    </row>
    <row r="557">
      <c r="C557" s="4"/>
      <c r="D557" s="4"/>
    </row>
    <row r="558">
      <c r="C558" s="4"/>
      <c r="D558" s="4"/>
    </row>
    <row r="559">
      <c r="C559" s="4"/>
      <c r="D559" s="4"/>
    </row>
    <row r="560">
      <c r="C560" s="4"/>
      <c r="D560" s="4"/>
    </row>
    <row r="561">
      <c r="C561" s="4"/>
      <c r="D561" s="4"/>
    </row>
    <row r="562">
      <c r="C562" s="4"/>
      <c r="D562" s="4"/>
    </row>
    <row r="563">
      <c r="C563" s="4"/>
      <c r="D563" s="4"/>
    </row>
    <row r="564">
      <c r="C564" s="4"/>
      <c r="D564" s="4"/>
    </row>
    <row r="565">
      <c r="C565" s="4"/>
      <c r="D565" s="4"/>
    </row>
    <row r="566">
      <c r="C566" s="4"/>
      <c r="D566" s="4"/>
    </row>
    <row r="567">
      <c r="C567" s="4"/>
      <c r="D567" s="4"/>
    </row>
    <row r="568">
      <c r="C568" s="4"/>
      <c r="D568" s="4"/>
    </row>
    <row r="569">
      <c r="C569" s="4"/>
      <c r="D569" s="4"/>
    </row>
    <row r="570">
      <c r="C570" s="4"/>
      <c r="D570" s="4"/>
    </row>
    <row r="571">
      <c r="C571" s="4"/>
      <c r="D571" s="4"/>
    </row>
    <row r="572">
      <c r="C572" s="4"/>
      <c r="D572" s="4"/>
    </row>
    <row r="573">
      <c r="C573" s="4"/>
      <c r="D573" s="4"/>
    </row>
    <row r="574">
      <c r="C574" s="4"/>
      <c r="D574" s="4"/>
    </row>
    <row r="575">
      <c r="C575" s="4"/>
      <c r="D575" s="4"/>
    </row>
    <row r="576">
      <c r="C576" s="4"/>
      <c r="D576" s="4"/>
    </row>
    <row r="577">
      <c r="C577" s="4"/>
      <c r="D577" s="4"/>
    </row>
    <row r="578">
      <c r="C578" s="4"/>
      <c r="D578" s="4"/>
    </row>
    <row r="579">
      <c r="C579" s="4"/>
      <c r="D579" s="4"/>
    </row>
    <row r="580">
      <c r="C580" s="4"/>
      <c r="D580" s="4"/>
    </row>
    <row r="581">
      <c r="C581" s="4"/>
      <c r="D581" s="4"/>
    </row>
    <row r="582">
      <c r="C582" s="4"/>
      <c r="D582" s="4"/>
    </row>
    <row r="583">
      <c r="C583" s="4"/>
      <c r="D583" s="4"/>
    </row>
    <row r="584">
      <c r="C584" s="4"/>
      <c r="D584" s="4"/>
    </row>
    <row r="585">
      <c r="C585" s="4"/>
      <c r="D585" s="4"/>
    </row>
    <row r="586">
      <c r="C586" s="4"/>
      <c r="D586" s="4"/>
    </row>
    <row r="587">
      <c r="C587" s="4"/>
      <c r="D587" s="4"/>
    </row>
    <row r="588">
      <c r="C588" s="4"/>
      <c r="D588" s="4"/>
    </row>
    <row r="589">
      <c r="C589" s="4"/>
      <c r="D589" s="4"/>
    </row>
    <row r="590">
      <c r="C590" s="4"/>
      <c r="D590" s="4"/>
    </row>
    <row r="591">
      <c r="C591" s="4"/>
      <c r="D591" s="4"/>
    </row>
    <row r="592">
      <c r="C592" s="4"/>
      <c r="D592" s="4"/>
    </row>
    <row r="593">
      <c r="C593" s="4"/>
      <c r="D593" s="4"/>
    </row>
    <row r="594">
      <c r="C594" s="4"/>
      <c r="D594" s="4"/>
    </row>
    <row r="595">
      <c r="C595" s="4"/>
      <c r="D595" s="4"/>
    </row>
    <row r="596">
      <c r="C596" s="4"/>
      <c r="D596" s="4"/>
    </row>
    <row r="597">
      <c r="C597" s="4"/>
      <c r="D597" s="4"/>
    </row>
    <row r="598">
      <c r="C598" s="4"/>
      <c r="D598" s="4"/>
    </row>
    <row r="599">
      <c r="C599" s="4"/>
      <c r="D599" s="4"/>
    </row>
    <row r="600">
      <c r="C600" s="4"/>
      <c r="D600" s="4"/>
    </row>
    <row r="601">
      <c r="C601" s="4"/>
      <c r="D601" s="4"/>
    </row>
    <row r="602">
      <c r="C602" s="4"/>
      <c r="D602" s="4"/>
    </row>
    <row r="603">
      <c r="C603" s="4"/>
      <c r="D603" s="4"/>
    </row>
    <row r="604">
      <c r="C604" s="4"/>
      <c r="D604" s="4"/>
    </row>
    <row r="605">
      <c r="C605" s="4"/>
      <c r="D605" s="4"/>
    </row>
    <row r="606">
      <c r="C606" s="4"/>
      <c r="D606" s="4"/>
    </row>
    <row r="607">
      <c r="C607" s="4"/>
      <c r="D607" s="4"/>
    </row>
    <row r="608">
      <c r="C608" s="4"/>
      <c r="D608" s="4"/>
    </row>
    <row r="609">
      <c r="C609" s="4"/>
      <c r="D609" s="4"/>
    </row>
    <row r="610">
      <c r="C610" s="4"/>
      <c r="D610" s="4"/>
    </row>
    <row r="611">
      <c r="C611" s="4"/>
      <c r="D611" s="4"/>
    </row>
    <row r="612">
      <c r="C612" s="4"/>
      <c r="D612" s="4"/>
    </row>
    <row r="613">
      <c r="C613" s="4"/>
      <c r="D613" s="4"/>
    </row>
    <row r="614">
      <c r="C614" s="4"/>
      <c r="D614" s="4"/>
    </row>
    <row r="615">
      <c r="C615" s="4"/>
      <c r="D615" s="4"/>
    </row>
    <row r="616">
      <c r="C616" s="4"/>
      <c r="D616" s="4"/>
    </row>
    <row r="617">
      <c r="C617" s="4"/>
      <c r="D617" s="4"/>
    </row>
    <row r="618">
      <c r="C618" s="4"/>
      <c r="D618" s="4"/>
    </row>
    <row r="619">
      <c r="C619" s="4"/>
      <c r="D619" s="4"/>
    </row>
    <row r="620">
      <c r="C620" s="4"/>
      <c r="D620" s="4"/>
    </row>
    <row r="621">
      <c r="C621" s="4"/>
      <c r="D621" s="4"/>
    </row>
    <row r="622">
      <c r="C622" s="4"/>
      <c r="D622" s="4"/>
    </row>
    <row r="623">
      <c r="C623" s="4"/>
      <c r="D623" s="4"/>
    </row>
    <row r="624">
      <c r="C624" s="4"/>
      <c r="D624" s="4"/>
    </row>
    <row r="625">
      <c r="C625" s="4"/>
      <c r="D625" s="4"/>
    </row>
    <row r="626">
      <c r="C626" s="4"/>
      <c r="D626" s="4"/>
    </row>
    <row r="627">
      <c r="C627" s="4"/>
      <c r="D627" s="4"/>
    </row>
    <row r="628">
      <c r="C628" s="4"/>
      <c r="D628" s="4"/>
    </row>
    <row r="629">
      <c r="C629" s="4"/>
      <c r="D629" s="4"/>
    </row>
    <row r="630">
      <c r="C630" s="4"/>
      <c r="D630" s="4"/>
    </row>
    <row r="631">
      <c r="C631" s="4"/>
      <c r="D631" s="4"/>
    </row>
    <row r="632">
      <c r="C632" s="4"/>
      <c r="D632" s="4"/>
    </row>
    <row r="633">
      <c r="C633" s="4"/>
      <c r="D633" s="4"/>
    </row>
    <row r="634">
      <c r="C634" s="4"/>
      <c r="D634" s="4"/>
    </row>
    <row r="635">
      <c r="C635" s="4"/>
      <c r="D635" s="4"/>
    </row>
    <row r="636">
      <c r="C636" s="4"/>
      <c r="D636" s="4"/>
    </row>
    <row r="637">
      <c r="C637" s="4"/>
      <c r="D637" s="4"/>
    </row>
    <row r="638">
      <c r="C638" s="4"/>
      <c r="D638" s="4"/>
    </row>
    <row r="639">
      <c r="C639" s="4"/>
      <c r="D639" s="4"/>
    </row>
    <row r="640">
      <c r="C640" s="4"/>
      <c r="D640" s="4"/>
    </row>
    <row r="641">
      <c r="C641" s="4"/>
      <c r="D641" s="4"/>
    </row>
    <row r="642">
      <c r="C642" s="4"/>
      <c r="D642" s="4"/>
    </row>
    <row r="643">
      <c r="C643" s="4"/>
      <c r="D643" s="4"/>
    </row>
    <row r="644">
      <c r="C644" s="4"/>
      <c r="D644" s="4"/>
    </row>
    <row r="645">
      <c r="C645" s="4"/>
      <c r="D645" s="4"/>
    </row>
    <row r="646">
      <c r="C646" s="4"/>
      <c r="D646" s="4"/>
    </row>
    <row r="647">
      <c r="C647" s="4"/>
      <c r="D647" s="4"/>
    </row>
    <row r="648">
      <c r="C648" s="4"/>
      <c r="D648" s="4"/>
    </row>
    <row r="649">
      <c r="C649" s="4"/>
      <c r="D649" s="4"/>
    </row>
    <row r="650">
      <c r="C650" s="4"/>
      <c r="D650" s="4"/>
    </row>
    <row r="651">
      <c r="C651" s="4"/>
      <c r="D651" s="4"/>
    </row>
    <row r="652">
      <c r="C652" s="4"/>
      <c r="D652" s="4"/>
    </row>
    <row r="653">
      <c r="C653" s="4"/>
      <c r="D653" s="4"/>
    </row>
    <row r="654">
      <c r="C654" s="4"/>
      <c r="D654" s="4"/>
    </row>
    <row r="655">
      <c r="C655" s="4"/>
      <c r="D655" s="4"/>
    </row>
    <row r="656">
      <c r="C656" s="4"/>
      <c r="D656" s="4"/>
    </row>
    <row r="657">
      <c r="C657" s="4"/>
      <c r="D657" s="4"/>
    </row>
    <row r="658">
      <c r="C658" s="4"/>
      <c r="D658" s="4"/>
    </row>
    <row r="659">
      <c r="C659" s="4"/>
      <c r="D659" s="4"/>
    </row>
    <row r="660">
      <c r="C660" s="4"/>
      <c r="D660" s="4"/>
    </row>
    <row r="661">
      <c r="C661" s="4"/>
      <c r="D661" s="4"/>
    </row>
    <row r="662">
      <c r="C662" s="4"/>
      <c r="D662" s="4"/>
    </row>
    <row r="663">
      <c r="C663" s="4"/>
      <c r="D663" s="4"/>
    </row>
    <row r="664">
      <c r="C664" s="4"/>
      <c r="D664" s="4"/>
    </row>
    <row r="665">
      <c r="C665" s="4"/>
      <c r="D665" s="4"/>
    </row>
    <row r="666">
      <c r="C666" s="4"/>
      <c r="D666" s="4"/>
    </row>
    <row r="667">
      <c r="C667" s="4"/>
      <c r="D667" s="4"/>
    </row>
    <row r="668">
      <c r="C668" s="4"/>
      <c r="D668" s="4"/>
    </row>
    <row r="669">
      <c r="C669" s="4"/>
      <c r="D669" s="4"/>
    </row>
    <row r="670">
      <c r="C670" s="4"/>
      <c r="D670" s="4"/>
    </row>
    <row r="671">
      <c r="C671" s="4"/>
      <c r="D671" s="4"/>
    </row>
    <row r="672">
      <c r="C672" s="4"/>
      <c r="D672" s="4"/>
    </row>
    <row r="673">
      <c r="C673" s="4"/>
      <c r="D673" s="4"/>
    </row>
    <row r="674">
      <c r="C674" s="4"/>
      <c r="D674" s="4"/>
    </row>
    <row r="675">
      <c r="C675" s="4"/>
      <c r="D675" s="4"/>
    </row>
    <row r="676">
      <c r="C676" s="4"/>
      <c r="D676" s="4"/>
    </row>
    <row r="677">
      <c r="C677" s="4"/>
      <c r="D677" s="4"/>
    </row>
    <row r="678">
      <c r="C678" s="4"/>
      <c r="D678" s="4"/>
    </row>
    <row r="679">
      <c r="C679" s="4"/>
      <c r="D679" s="4"/>
    </row>
    <row r="680">
      <c r="C680" s="4"/>
      <c r="D680" s="4"/>
    </row>
    <row r="681">
      <c r="C681" s="4"/>
      <c r="D681" s="4"/>
    </row>
    <row r="682">
      <c r="C682" s="4"/>
      <c r="D682" s="4"/>
    </row>
    <row r="683">
      <c r="C683" s="4"/>
      <c r="D683" s="4"/>
    </row>
    <row r="684">
      <c r="C684" s="4"/>
      <c r="D684" s="4"/>
    </row>
    <row r="685">
      <c r="C685" s="4"/>
      <c r="D685" s="4"/>
    </row>
    <row r="686">
      <c r="C686" s="4"/>
      <c r="D686" s="4"/>
    </row>
    <row r="687">
      <c r="C687" s="4"/>
      <c r="D687" s="4"/>
    </row>
    <row r="688">
      <c r="C688" s="4"/>
      <c r="D688" s="4"/>
    </row>
    <row r="689">
      <c r="C689" s="4"/>
      <c r="D689" s="4"/>
    </row>
    <row r="690">
      <c r="C690" s="4"/>
      <c r="D690" s="4"/>
    </row>
    <row r="691">
      <c r="C691" s="4"/>
      <c r="D691" s="4"/>
    </row>
    <row r="692">
      <c r="C692" s="4"/>
      <c r="D692" s="4"/>
    </row>
    <row r="693">
      <c r="C693" s="4"/>
      <c r="D693" s="4"/>
    </row>
    <row r="694">
      <c r="C694" s="4"/>
      <c r="D694" s="4"/>
    </row>
    <row r="695">
      <c r="C695" s="4"/>
      <c r="D695" s="4"/>
    </row>
    <row r="696">
      <c r="C696" s="4"/>
      <c r="D696" s="4"/>
    </row>
    <row r="697">
      <c r="C697" s="4"/>
      <c r="D697" s="4"/>
    </row>
    <row r="698">
      <c r="C698" s="4"/>
      <c r="D698" s="4"/>
    </row>
    <row r="699">
      <c r="C699" s="4"/>
      <c r="D699" s="4"/>
    </row>
    <row r="700">
      <c r="C700" s="4"/>
      <c r="D700" s="4"/>
    </row>
    <row r="701">
      <c r="C701" s="4"/>
      <c r="D701" s="4"/>
    </row>
    <row r="702">
      <c r="C702" s="4"/>
      <c r="D702" s="4"/>
    </row>
    <row r="703">
      <c r="C703" s="4"/>
      <c r="D703" s="4"/>
    </row>
    <row r="704">
      <c r="C704" s="4"/>
      <c r="D704" s="4"/>
    </row>
    <row r="705">
      <c r="C705" s="4"/>
      <c r="D705" s="4"/>
    </row>
    <row r="706">
      <c r="C706" s="4"/>
      <c r="D706" s="4"/>
    </row>
    <row r="707">
      <c r="C707" s="4"/>
      <c r="D707" s="4"/>
    </row>
    <row r="708">
      <c r="C708" s="4"/>
      <c r="D708" s="4"/>
    </row>
    <row r="709">
      <c r="C709" s="4"/>
      <c r="D709" s="4"/>
    </row>
    <row r="710">
      <c r="C710" s="4"/>
      <c r="D710" s="4"/>
    </row>
    <row r="711">
      <c r="C711" s="4"/>
      <c r="D711" s="4"/>
    </row>
    <row r="712">
      <c r="C712" s="4"/>
      <c r="D712" s="4"/>
    </row>
    <row r="713">
      <c r="C713" s="4"/>
      <c r="D713" s="4"/>
    </row>
    <row r="714">
      <c r="C714" s="4"/>
      <c r="D714" s="4"/>
    </row>
    <row r="715">
      <c r="C715" s="4"/>
      <c r="D715" s="4"/>
    </row>
    <row r="716">
      <c r="C716" s="4"/>
      <c r="D716" s="4"/>
    </row>
    <row r="717">
      <c r="C717" s="4"/>
      <c r="D717" s="4"/>
    </row>
    <row r="718">
      <c r="C718" s="4"/>
      <c r="D718" s="4"/>
    </row>
    <row r="719">
      <c r="C719" s="4"/>
      <c r="D719" s="4"/>
    </row>
    <row r="720">
      <c r="C720" s="4"/>
      <c r="D720" s="4"/>
    </row>
    <row r="721">
      <c r="C721" s="4"/>
      <c r="D721" s="4"/>
    </row>
    <row r="722">
      <c r="C722" s="4"/>
      <c r="D722" s="4"/>
    </row>
    <row r="723">
      <c r="C723" s="4"/>
      <c r="D723" s="4"/>
    </row>
    <row r="724">
      <c r="C724" s="4"/>
      <c r="D724" s="4"/>
    </row>
    <row r="725">
      <c r="C725" s="4"/>
      <c r="D725" s="4"/>
    </row>
    <row r="726">
      <c r="C726" s="4"/>
      <c r="D726" s="4"/>
    </row>
    <row r="727">
      <c r="C727" s="4"/>
      <c r="D727" s="4"/>
    </row>
    <row r="728">
      <c r="C728" s="4"/>
      <c r="D728" s="4"/>
    </row>
    <row r="729">
      <c r="C729" s="4"/>
      <c r="D729" s="4"/>
    </row>
    <row r="730">
      <c r="C730" s="4"/>
      <c r="D730" s="4"/>
    </row>
    <row r="731">
      <c r="C731" s="4"/>
      <c r="D731" s="4"/>
    </row>
    <row r="732">
      <c r="C732" s="4"/>
      <c r="D732" s="4"/>
    </row>
    <row r="733">
      <c r="C733" s="4"/>
      <c r="D733" s="4"/>
    </row>
    <row r="734">
      <c r="C734" s="4"/>
      <c r="D734" s="4"/>
    </row>
    <row r="735">
      <c r="C735" s="4"/>
      <c r="D735" s="4"/>
    </row>
    <row r="736">
      <c r="C736" s="4"/>
      <c r="D736" s="4"/>
    </row>
    <row r="737">
      <c r="C737" s="4"/>
      <c r="D737" s="4"/>
    </row>
    <row r="738">
      <c r="C738" s="4"/>
      <c r="D738" s="4"/>
    </row>
    <row r="739">
      <c r="C739" s="4"/>
      <c r="D739" s="4"/>
    </row>
    <row r="740">
      <c r="C740" s="4"/>
      <c r="D740" s="4"/>
    </row>
    <row r="741">
      <c r="C741" s="4"/>
      <c r="D741" s="4"/>
    </row>
    <row r="742">
      <c r="C742" s="4"/>
      <c r="D742" s="4"/>
    </row>
    <row r="743">
      <c r="C743" s="4"/>
      <c r="D743" s="4"/>
    </row>
    <row r="744">
      <c r="C744" s="4"/>
      <c r="D744" s="4"/>
    </row>
    <row r="745">
      <c r="C745" s="4"/>
      <c r="D745" s="4"/>
    </row>
    <row r="746">
      <c r="C746" s="4"/>
      <c r="D746" s="4"/>
    </row>
    <row r="747">
      <c r="C747" s="4"/>
      <c r="D747" s="4"/>
    </row>
    <row r="748">
      <c r="C748" s="4"/>
      <c r="D748" s="4"/>
    </row>
    <row r="749">
      <c r="C749" s="4"/>
      <c r="D749" s="4"/>
    </row>
    <row r="750">
      <c r="C750" s="4"/>
      <c r="D750" s="4"/>
    </row>
    <row r="751">
      <c r="C751" s="4"/>
      <c r="D751" s="4"/>
    </row>
    <row r="752">
      <c r="C752" s="4"/>
      <c r="D752" s="4"/>
    </row>
    <row r="753">
      <c r="C753" s="4"/>
      <c r="D753" s="4"/>
    </row>
    <row r="754">
      <c r="C754" s="4"/>
      <c r="D754" s="4"/>
    </row>
    <row r="755">
      <c r="C755" s="4"/>
      <c r="D755" s="4"/>
    </row>
    <row r="756">
      <c r="C756" s="4"/>
      <c r="D756" s="4"/>
    </row>
    <row r="757">
      <c r="C757" s="4"/>
      <c r="D757" s="4"/>
    </row>
    <row r="758">
      <c r="C758" s="4"/>
      <c r="D758" s="4"/>
    </row>
    <row r="759">
      <c r="C759" s="4"/>
      <c r="D759" s="4"/>
    </row>
    <row r="760">
      <c r="C760" s="4"/>
      <c r="D760" s="4"/>
    </row>
    <row r="761">
      <c r="C761" s="4"/>
      <c r="D761" s="4"/>
    </row>
    <row r="762">
      <c r="C762" s="4"/>
      <c r="D762" s="4"/>
    </row>
    <row r="763">
      <c r="C763" s="4"/>
      <c r="D763" s="4"/>
    </row>
    <row r="764">
      <c r="C764" s="4"/>
      <c r="D764" s="4"/>
    </row>
    <row r="765">
      <c r="C765" s="4"/>
      <c r="D765" s="4"/>
    </row>
    <row r="766">
      <c r="C766" s="4"/>
      <c r="D766" s="4"/>
    </row>
    <row r="767">
      <c r="C767" s="4"/>
      <c r="D767" s="4"/>
    </row>
    <row r="768">
      <c r="C768" s="4"/>
      <c r="D768" s="4"/>
    </row>
    <row r="769">
      <c r="C769" s="4"/>
      <c r="D769" s="4"/>
    </row>
    <row r="770">
      <c r="C770" s="4"/>
      <c r="D770" s="4"/>
    </row>
    <row r="771">
      <c r="C771" s="4"/>
      <c r="D771" s="4"/>
    </row>
    <row r="772">
      <c r="C772" s="4"/>
      <c r="D772" s="4"/>
    </row>
    <row r="773">
      <c r="C773" s="4"/>
      <c r="D773" s="4"/>
    </row>
    <row r="774">
      <c r="C774" s="4"/>
      <c r="D774" s="4"/>
    </row>
    <row r="775">
      <c r="C775" s="4"/>
      <c r="D775" s="4"/>
    </row>
    <row r="776">
      <c r="C776" s="4"/>
      <c r="D776" s="4"/>
    </row>
    <row r="777">
      <c r="C777" s="4"/>
      <c r="D777" s="4"/>
    </row>
    <row r="778">
      <c r="C778" s="4"/>
      <c r="D778" s="4"/>
    </row>
    <row r="779">
      <c r="C779" s="4"/>
      <c r="D779" s="4"/>
    </row>
    <row r="780">
      <c r="C780" s="4"/>
      <c r="D780" s="4"/>
    </row>
    <row r="781">
      <c r="C781" s="4"/>
      <c r="D781" s="4"/>
    </row>
    <row r="782">
      <c r="C782" s="4"/>
      <c r="D782" s="4"/>
    </row>
    <row r="783">
      <c r="C783" s="4"/>
      <c r="D783" s="4"/>
    </row>
    <row r="784">
      <c r="C784" s="4"/>
      <c r="D784" s="4"/>
    </row>
    <row r="785">
      <c r="C785" s="4"/>
      <c r="D785" s="4"/>
    </row>
    <row r="786">
      <c r="C786" s="4"/>
      <c r="D786" s="4"/>
    </row>
    <row r="787">
      <c r="C787" s="4"/>
      <c r="D787" s="4"/>
    </row>
    <row r="788">
      <c r="C788" s="4"/>
      <c r="D788" s="4"/>
    </row>
    <row r="789">
      <c r="C789" s="4"/>
      <c r="D789" s="4"/>
    </row>
    <row r="790">
      <c r="C790" s="4"/>
      <c r="D790" s="4"/>
    </row>
    <row r="791">
      <c r="C791" s="4"/>
      <c r="D791" s="4"/>
    </row>
    <row r="792">
      <c r="C792" s="4"/>
      <c r="D792" s="4"/>
    </row>
    <row r="793">
      <c r="C793" s="4"/>
      <c r="D793" s="4"/>
    </row>
    <row r="794">
      <c r="C794" s="4"/>
      <c r="D794" s="4"/>
    </row>
    <row r="795">
      <c r="C795" s="4"/>
      <c r="D795" s="4"/>
    </row>
    <row r="796">
      <c r="C796" s="4"/>
      <c r="D796" s="4"/>
    </row>
    <row r="797">
      <c r="C797" s="4"/>
      <c r="D797" s="4"/>
    </row>
    <row r="798">
      <c r="C798" s="4"/>
      <c r="D798" s="4"/>
    </row>
    <row r="799">
      <c r="C799" s="4"/>
      <c r="D799" s="4"/>
    </row>
    <row r="800">
      <c r="C800" s="4"/>
      <c r="D800" s="4"/>
    </row>
    <row r="801">
      <c r="C801" s="4"/>
      <c r="D801" s="4"/>
    </row>
    <row r="802">
      <c r="C802" s="4"/>
      <c r="D802" s="4"/>
    </row>
    <row r="803">
      <c r="C803" s="4"/>
      <c r="D803" s="4"/>
    </row>
    <row r="804">
      <c r="C804" s="4"/>
      <c r="D804" s="4"/>
    </row>
    <row r="805">
      <c r="C805" s="4"/>
      <c r="D805" s="4"/>
    </row>
    <row r="806">
      <c r="C806" s="4"/>
      <c r="D806" s="4"/>
    </row>
    <row r="807">
      <c r="C807" s="4"/>
      <c r="D807" s="4"/>
    </row>
    <row r="808">
      <c r="C808" s="4"/>
      <c r="D808" s="4"/>
    </row>
    <row r="809">
      <c r="C809" s="4"/>
      <c r="D809" s="4"/>
    </row>
    <row r="810">
      <c r="C810" s="4"/>
      <c r="D810" s="4"/>
    </row>
    <row r="811">
      <c r="C811" s="4"/>
      <c r="D811" s="4"/>
    </row>
    <row r="812">
      <c r="C812" s="4"/>
      <c r="D812" s="4"/>
    </row>
    <row r="813">
      <c r="C813" s="4"/>
      <c r="D813" s="4"/>
    </row>
    <row r="814">
      <c r="C814" s="4"/>
      <c r="D814" s="4"/>
    </row>
    <row r="815">
      <c r="C815" s="4"/>
      <c r="D815" s="4"/>
    </row>
    <row r="816">
      <c r="C816" s="4"/>
      <c r="D816" s="4"/>
    </row>
    <row r="817">
      <c r="C817" s="4"/>
      <c r="D817" s="4"/>
    </row>
    <row r="818">
      <c r="C818" s="4"/>
      <c r="D818" s="4"/>
    </row>
    <row r="819">
      <c r="C819" s="4"/>
      <c r="D819" s="4"/>
    </row>
    <row r="820">
      <c r="C820" s="4"/>
      <c r="D820" s="4"/>
    </row>
    <row r="821">
      <c r="C821" s="4"/>
      <c r="D821" s="4"/>
    </row>
    <row r="822">
      <c r="C822" s="4"/>
      <c r="D822" s="4"/>
    </row>
    <row r="823">
      <c r="C823" s="4"/>
      <c r="D823" s="4"/>
    </row>
    <row r="824">
      <c r="C824" s="4"/>
      <c r="D824" s="4"/>
    </row>
    <row r="825">
      <c r="C825" s="4"/>
      <c r="D825" s="4"/>
    </row>
    <row r="826">
      <c r="C826" s="4"/>
      <c r="D826" s="4"/>
    </row>
    <row r="827">
      <c r="C827" s="4"/>
      <c r="D827" s="4"/>
    </row>
    <row r="828">
      <c r="C828" s="4"/>
      <c r="D828" s="4"/>
    </row>
    <row r="829">
      <c r="C829" s="4"/>
      <c r="D829" s="4"/>
    </row>
    <row r="830">
      <c r="C830" s="4"/>
      <c r="D830" s="4"/>
    </row>
    <row r="831">
      <c r="C831" s="4"/>
      <c r="D831" s="4"/>
    </row>
    <row r="832">
      <c r="C832" s="4"/>
      <c r="D832" s="4"/>
    </row>
    <row r="833">
      <c r="C833" s="4"/>
      <c r="D833" s="4"/>
    </row>
    <row r="834">
      <c r="C834" s="4"/>
      <c r="D834" s="4"/>
    </row>
    <row r="835">
      <c r="C835" s="4"/>
      <c r="D835" s="4"/>
    </row>
    <row r="836">
      <c r="C836" s="4"/>
      <c r="D836" s="4"/>
    </row>
    <row r="837">
      <c r="C837" s="4"/>
      <c r="D837" s="4"/>
    </row>
    <row r="838">
      <c r="C838" s="4"/>
      <c r="D838" s="4"/>
    </row>
    <row r="839">
      <c r="C839" s="4"/>
      <c r="D839" s="4"/>
    </row>
    <row r="840">
      <c r="C840" s="4"/>
      <c r="D840" s="4"/>
    </row>
    <row r="841">
      <c r="C841" s="4"/>
      <c r="D841" s="4"/>
    </row>
    <row r="842">
      <c r="C842" s="4"/>
      <c r="D842" s="4"/>
    </row>
    <row r="843">
      <c r="C843" s="4"/>
      <c r="D843" s="4"/>
    </row>
    <row r="844">
      <c r="C844" s="4"/>
      <c r="D844" s="4"/>
    </row>
    <row r="845">
      <c r="C845" s="4"/>
      <c r="D845" s="4"/>
    </row>
    <row r="846">
      <c r="C846" s="4"/>
      <c r="D846" s="4"/>
    </row>
    <row r="847">
      <c r="C847" s="4"/>
      <c r="D847" s="4"/>
    </row>
    <row r="848">
      <c r="C848" s="4"/>
      <c r="D848" s="4"/>
    </row>
    <row r="849">
      <c r="C849" s="4"/>
      <c r="D849" s="4"/>
    </row>
    <row r="850">
      <c r="C850" s="4"/>
      <c r="D850" s="4"/>
    </row>
    <row r="851">
      <c r="C851" s="4"/>
      <c r="D851" s="4"/>
    </row>
    <row r="852">
      <c r="C852" s="4"/>
      <c r="D852" s="4"/>
    </row>
    <row r="853">
      <c r="C853" s="4"/>
      <c r="D853" s="4"/>
    </row>
    <row r="854">
      <c r="C854" s="4"/>
      <c r="D854" s="4"/>
    </row>
    <row r="855">
      <c r="C855" s="4"/>
      <c r="D855" s="4"/>
    </row>
    <row r="856">
      <c r="C856" s="4"/>
      <c r="D856" s="4"/>
    </row>
    <row r="857">
      <c r="C857" s="4"/>
      <c r="D857" s="4"/>
    </row>
    <row r="858">
      <c r="C858" s="4"/>
      <c r="D858" s="4"/>
    </row>
    <row r="859">
      <c r="C859" s="4"/>
      <c r="D859" s="4"/>
    </row>
    <row r="860">
      <c r="C860" s="4"/>
      <c r="D860" s="4"/>
    </row>
    <row r="861">
      <c r="C861" s="4"/>
      <c r="D861" s="4"/>
    </row>
    <row r="862">
      <c r="C862" s="4"/>
      <c r="D862" s="4"/>
    </row>
    <row r="863">
      <c r="C863" s="4"/>
      <c r="D863" s="4"/>
    </row>
    <row r="864">
      <c r="C864" s="4"/>
      <c r="D864" s="4"/>
    </row>
    <row r="865">
      <c r="C865" s="4"/>
      <c r="D865" s="4"/>
    </row>
    <row r="866">
      <c r="C866" s="4"/>
      <c r="D866" s="4"/>
    </row>
    <row r="867">
      <c r="C867" s="4"/>
      <c r="D867" s="4"/>
    </row>
    <row r="868">
      <c r="C868" s="4"/>
      <c r="D868" s="4"/>
    </row>
    <row r="869">
      <c r="C869" s="4"/>
      <c r="D869" s="4"/>
    </row>
    <row r="870">
      <c r="C870" s="4"/>
      <c r="D870" s="4"/>
    </row>
    <row r="871">
      <c r="C871" s="4"/>
      <c r="D871" s="4"/>
    </row>
    <row r="872">
      <c r="C872" s="4"/>
      <c r="D872" s="4"/>
    </row>
    <row r="873">
      <c r="C873" s="4"/>
      <c r="D873" s="4"/>
    </row>
    <row r="874">
      <c r="C874" s="4"/>
      <c r="D874" s="4"/>
    </row>
    <row r="875">
      <c r="C875" s="4"/>
      <c r="D875" s="4"/>
    </row>
    <row r="876">
      <c r="C876" s="4"/>
      <c r="D876" s="4"/>
    </row>
    <row r="877">
      <c r="C877" s="4"/>
      <c r="D877" s="4"/>
    </row>
    <row r="878">
      <c r="C878" s="4"/>
      <c r="D878" s="4"/>
    </row>
    <row r="879">
      <c r="C879" s="4"/>
      <c r="D879" s="4"/>
    </row>
    <row r="880">
      <c r="C880" s="4"/>
      <c r="D880" s="4"/>
    </row>
    <row r="881">
      <c r="C881" s="4"/>
      <c r="D881" s="4"/>
    </row>
    <row r="882">
      <c r="C882" s="4"/>
      <c r="D882" s="4"/>
    </row>
    <row r="883">
      <c r="C883" s="4"/>
      <c r="D883" s="4"/>
    </row>
    <row r="884">
      <c r="C884" s="4"/>
      <c r="D884" s="4"/>
    </row>
    <row r="885">
      <c r="C885" s="4"/>
      <c r="D885" s="4"/>
    </row>
    <row r="886">
      <c r="C886" s="4"/>
      <c r="D886" s="4"/>
    </row>
    <row r="887">
      <c r="C887" s="4"/>
      <c r="D887" s="4"/>
    </row>
    <row r="888">
      <c r="C888" s="4"/>
      <c r="D888" s="4"/>
    </row>
    <row r="889">
      <c r="C889" s="4"/>
      <c r="D889" s="4"/>
    </row>
    <row r="890">
      <c r="C890" s="4"/>
      <c r="D890" s="4"/>
    </row>
    <row r="891">
      <c r="C891" s="4"/>
      <c r="D891" s="4"/>
    </row>
    <row r="892">
      <c r="C892" s="4"/>
      <c r="D892" s="4"/>
    </row>
    <row r="893">
      <c r="C893" s="4"/>
      <c r="D893" s="4"/>
    </row>
    <row r="894">
      <c r="C894" s="4"/>
      <c r="D894" s="4"/>
    </row>
    <row r="895">
      <c r="C895" s="4"/>
      <c r="D895" s="4"/>
    </row>
    <row r="896">
      <c r="C896" s="4"/>
      <c r="D896" s="4"/>
    </row>
    <row r="897">
      <c r="C897" s="4"/>
      <c r="D897" s="4"/>
    </row>
    <row r="898">
      <c r="C898" s="4"/>
      <c r="D898" s="4"/>
    </row>
    <row r="899">
      <c r="C899" s="4"/>
      <c r="D899" s="4"/>
    </row>
    <row r="900">
      <c r="C900" s="4"/>
      <c r="D900" s="4"/>
    </row>
    <row r="901">
      <c r="C901" s="4"/>
      <c r="D901" s="4"/>
    </row>
    <row r="902">
      <c r="C902" s="4"/>
      <c r="D902" s="4"/>
    </row>
    <row r="903">
      <c r="C903" s="4"/>
      <c r="D903" s="4"/>
    </row>
    <row r="904">
      <c r="C904" s="4"/>
      <c r="D904" s="4"/>
    </row>
    <row r="905">
      <c r="C905" s="4"/>
      <c r="D905" s="4"/>
    </row>
    <row r="906">
      <c r="C906" s="4"/>
      <c r="D906" s="4"/>
    </row>
    <row r="907">
      <c r="C907" s="4"/>
      <c r="D907" s="4"/>
    </row>
    <row r="908">
      <c r="C908" s="4"/>
      <c r="D908" s="4"/>
    </row>
    <row r="909">
      <c r="C909" s="4"/>
      <c r="D909" s="4"/>
    </row>
    <row r="910">
      <c r="C910" s="4"/>
      <c r="D910" s="4"/>
    </row>
    <row r="911">
      <c r="C911" s="4"/>
      <c r="D911" s="4"/>
    </row>
    <row r="912">
      <c r="C912" s="4"/>
      <c r="D912" s="4"/>
    </row>
    <row r="913">
      <c r="C913" s="4"/>
      <c r="D913" s="4"/>
    </row>
    <row r="914">
      <c r="C914" s="4"/>
      <c r="D914" s="4"/>
    </row>
    <row r="915">
      <c r="C915" s="4"/>
      <c r="D915" s="4"/>
    </row>
    <row r="916">
      <c r="C916" s="4"/>
      <c r="D916" s="4"/>
    </row>
    <row r="917">
      <c r="C917" s="4"/>
      <c r="D917" s="4"/>
    </row>
    <row r="918">
      <c r="C918" s="4"/>
      <c r="D918" s="4"/>
    </row>
    <row r="919">
      <c r="C919" s="4"/>
      <c r="D919" s="4"/>
    </row>
    <row r="920">
      <c r="C920" s="4"/>
      <c r="D920" s="4"/>
    </row>
    <row r="921">
      <c r="C921" s="4"/>
      <c r="D921" s="4"/>
    </row>
    <row r="922">
      <c r="C922" s="4"/>
      <c r="D922" s="4"/>
    </row>
    <row r="923">
      <c r="C923" s="4"/>
      <c r="D923" s="4"/>
    </row>
    <row r="924">
      <c r="C924" s="4"/>
      <c r="D924" s="4"/>
    </row>
    <row r="925">
      <c r="C925" s="4"/>
      <c r="D925" s="4"/>
    </row>
    <row r="926">
      <c r="C926" s="4"/>
      <c r="D926" s="4"/>
    </row>
    <row r="927">
      <c r="C927" s="4"/>
      <c r="D927" s="4"/>
    </row>
    <row r="928">
      <c r="C928" s="4"/>
      <c r="D928" s="4"/>
    </row>
    <row r="929">
      <c r="C929" s="4"/>
      <c r="D929" s="4"/>
    </row>
    <row r="930">
      <c r="C930" s="4"/>
      <c r="D930" s="4"/>
    </row>
    <row r="931">
      <c r="C931" s="4"/>
      <c r="D931" s="4"/>
    </row>
    <row r="932">
      <c r="C932" s="4"/>
      <c r="D932" s="4"/>
    </row>
    <row r="933">
      <c r="C933" s="4"/>
      <c r="D933" s="4"/>
    </row>
    <row r="934">
      <c r="C934" s="4"/>
      <c r="D934" s="4"/>
    </row>
    <row r="935">
      <c r="C935" s="4"/>
      <c r="D935" s="4"/>
    </row>
    <row r="936">
      <c r="C936" s="4"/>
      <c r="D936" s="4"/>
    </row>
    <row r="937">
      <c r="C937" s="4"/>
      <c r="D937" s="4"/>
    </row>
    <row r="938">
      <c r="C938" s="4"/>
      <c r="D938" s="4"/>
    </row>
    <row r="939">
      <c r="C939" s="4"/>
      <c r="D939" s="4"/>
    </row>
    <row r="940">
      <c r="C940" s="4"/>
      <c r="D940" s="4"/>
    </row>
    <row r="941">
      <c r="C941" s="4"/>
      <c r="D941" s="4"/>
    </row>
    <row r="942">
      <c r="C942" s="4"/>
      <c r="D942" s="4"/>
    </row>
    <row r="943">
      <c r="C943" s="4"/>
      <c r="D943" s="4"/>
    </row>
    <row r="944">
      <c r="C944" s="4"/>
      <c r="D944" s="4"/>
    </row>
    <row r="945">
      <c r="C945" s="4"/>
      <c r="D945" s="4"/>
    </row>
    <row r="946">
      <c r="C946" s="4"/>
      <c r="D946" s="4"/>
    </row>
    <row r="947">
      <c r="C947" s="4"/>
      <c r="D947" s="4"/>
    </row>
    <row r="948">
      <c r="C948" s="4"/>
      <c r="D948" s="4"/>
    </row>
    <row r="949">
      <c r="C949" s="4"/>
      <c r="D949" s="4"/>
    </row>
    <row r="950">
      <c r="C950" s="4"/>
      <c r="D950" s="4"/>
    </row>
    <row r="951">
      <c r="C951" s="4"/>
      <c r="D951" s="4"/>
    </row>
    <row r="952">
      <c r="C952" s="4"/>
      <c r="D952" s="4"/>
    </row>
    <row r="953">
      <c r="C953" s="4"/>
      <c r="D953" s="4"/>
    </row>
    <row r="954">
      <c r="C954" s="4"/>
      <c r="D954" s="4"/>
    </row>
    <row r="955">
      <c r="C955" s="4"/>
      <c r="D955" s="4"/>
    </row>
    <row r="956">
      <c r="C956" s="4"/>
      <c r="D956" s="4"/>
    </row>
    <row r="957">
      <c r="C957" s="4"/>
      <c r="D957" s="4"/>
    </row>
    <row r="958">
      <c r="C958" s="4"/>
      <c r="D958" s="4"/>
    </row>
    <row r="959">
      <c r="C959" s="4"/>
      <c r="D959" s="4"/>
    </row>
    <row r="960">
      <c r="C960" s="4"/>
      <c r="D960" s="4"/>
    </row>
    <row r="961">
      <c r="C961" s="4"/>
      <c r="D961" s="4"/>
    </row>
    <row r="962">
      <c r="C962" s="4"/>
      <c r="D962" s="4"/>
    </row>
    <row r="963">
      <c r="C963" s="4"/>
      <c r="D963" s="4"/>
    </row>
    <row r="964">
      <c r="C964" s="4"/>
      <c r="D964" s="4"/>
    </row>
    <row r="965">
      <c r="C965" s="4"/>
      <c r="D965" s="4"/>
    </row>
    <row r="966">
      <c r="C966" s="4"/>
      <c r="D966" s="4"/>
    </row>
    <row r="967">
      <c r="C967" s="4"/>
      <c r="D967" s="4"/>
    </row>
    <row r="968">
      <c r="C968" s="4"/>
      <c r="D968" s="4"/>
    </row>
    <row r="969">
      <c r="C969" s="4"/>
      <c r="D969" s="4"/>
    </row>
    <row r="970">
      <c r="C970" s="4"/>
      <c r="D970" s="4"/>
    </row>
    <row r="971">
      <c r="C971" s="4"/>
      <c r="D971" s="4"/>
    </row>
    <row r="972">
      <c r="C972" s="4"/>
      <c r="D972" s="4"/>
    </row>
    <row r="973">
      <c r="C973" s="4"/>
      <c r="D973" s="4"/>
    </row>
    <row r="974">
      <c r="C974" s="4"/>
      <c r="D974" s="4"/>
    </row>
    <row r="975">
      <c r="C975" s="4"/>
      <c r="D975" s="4"/>
    </row>
    <row r="976">
      <c r="C976" s="4"/>
      <c r="D976" s="4"/>
    </row>
    <row r="977">
      <c r="C977" s="4"/>
      <c r="D977" s="4"/>
    </row>
    <row r="978">
      <c r="C978" s="4"/>
      <c r="D978" s="4"/>
    </row>
    <row r="979">
      <c r="C979" s="4"/>
      <c r="D979" s="4"/>
    </row>
    <row r="980">
      <c r="C980" s="4"/>
      <c r="D980" s="4"/>
    </row>
    <row r="981">
      <c r="C981" s="4"/>
      <c r="D981" s="4"/>
    </row>
    <row r="982">
      <c r="C982" s="4"/>
      <c r="D982" s="4"/>
    </row>
    <row r="983">
      <c r="C983" s="4"/>
      <c r="D983" s="4"/>
    </row>
    <row r="984">
      <c r="C984" s="4"/>
      <c r="D984" s="4"/>
    </row>
    <row r="985">
      <c r="C985" s="4"/>
      <c r="D985" s="4"/>
    </row>
    <row r="986">
      <c r="C986" s="4"/>
      <c r="D986" s="4"/>
    </row>
    <row r="987">
      <c r="C987" s="4"/>
      <c r="D987" s="4"/>
    </row>
    <row r="988">
      <c r="C988" s="4"/>
      <c r="D988" s="4"/>
    </row>
    <row r="989">
      <c r="C989" s="4"/>
      <c r="D989" s="4"/>
    </row>
    <row r="990">
      <c r="C990" s="4"/>
      <c r="D990" s="4"/>
    </row>
    <row r="991">
      <c r="C991" s="4"/>
      <c r="D991" s="4"/>
    </row>
    <row r="992">
      <c r="C992" s="4"/>
      <c r="D992" s="4"/>
    </row>
    <row r="993">
      <c r="C993" s="4"/>
      <c r="D993" s="4"/>
    </row>
    <row r="994">
      <c r="C994" s="4"/>
      <c r="D994" s="4"/>
    </row>
    <row r="995">
      <c r="C995" s="4"/>
      <c r="D995" s="4"/>
    </row>
    <row r="996">
      <c r="C996" s="4"/>
      <c r="D996" s="4"/>
    </row>
    <row r="997">
      <c r="C997" s="4"/>
      <c r="D997" s="4"/>
    </row>
    <row r="998">
      <c r="C998" s="4"/>
      <c r="D998" s="4"/>
    </row>
    <row r="999">
      <c r="C999" s="4"/>
      <c r="D999" s="4"/>
    </row>
    <row r="1000">
      <c r="C1000" s="4"/>
      <c r="D1000" s="4"/>
    </row>
    <row r="1001">
      <c r="C1001" s="4"/>
      <c r="D1001" s="4"/>
    </row>
  </sheetData>
  <autoFilter ref="$A$1:$H$330">
    <filterColumn colId="5">
      <filters>
        <filter val="Keep"/>
      </filters>
    </filterColumn>
    <sortState ref="A1:H330">
      <sortCondition ref="A1:A330"/>
      <sortCondition ref="B1:B330"/>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s>
  <sheetData>
    <row r="1">
      <c r="A1" s="1" t="s">
        <v>661</v>
      </c>
      <c r="B1" s="1" t="s">
        <v>662</v>
      </c>
      <c r="C1" s="1" t="s">
        <v>663</v>
      </c>
      <c r="D1" s="1" t="s">
        <v>664</v>
      </c>
      <c r="E1" s="1" t="s">
        <v>665</v>
      </c>
      <c r="F1" s="1" t="s">
        <v>666</v>
      </c>
      <c r="G1" s="1" t="s">
        <v>667</v>
      </c>
    </row>
    <row r="2">
      <c r="A2" s="1" t="s">
        <v>668</v>
      </c>
      <c r="B2" s="1">
        <v>443591.0</v>
      </c>
      <c r="C2" s="5">
        <f t="shared" ref="C2:C183" si="1">B2/4451.32</f>
        <v>99.65381056</v>
      </c>
      <c r="D2" s="5">
        <f t="shared" ref="D2:D183" si="2">445132-B2</f>
        <v>1541</v>
      </c>
      <c r="E2" s="5" t="str">
        <f t="shared" ref="E2:E183" si="3">LEFT(A2,  LEN(A2)-10)</f>
        <v>CSRVCTL2</v>
      </c>
      <c r="G2" s="16" t="s">
        <v>375</v>
      </c>
    </row>
    <row r="3">
      <c r="A3" s="1" t="s">
        <v>669</v>
      </c>
      <c r="B3" s="1">
        <v>443460.0</v>
      </c>
      <c r="C3" s="5">
        <f t="shared" si="1"/>
        <v>99.62438108</v>
      </c>
      <c r="D3" s="5">
        <f t="shared" si="2"/>
        <v>1672</v>
      </c>
      <c r="E3" s="5" t="str">
        <f t="shared" si="3"/>
        <v>HPVADSHT</v>
      </c>
      <c r="G3" s="16" t="s">
        <v>315</v>
      </c>
    </row>
    <row r="4">
      <c r="A4" s="1" t="s">
        <v>670</v>
      </c>
      <c r="B4" s="1">
        <v>442968.0</v>
      </c>
      <c r="C4" s="5">
        <f t="shared" si="1"/>
        <v>99.51385207</v>
      </c>
      <c r="D4" s="5">
        <f t="shared" si="2"/>
        <v>2164</v>
      </c>
      <c r="E4" s="5" t="str">
        <f t="shared" si="3"/>
        <v>MENTECIG</v>
      </c>
      <c r="G4" s="16" t="s">
        <v>504</v>
      </c>
    </row>
    <row r="5">
      <c r="A5" s="1" t="s">
        <v>671</v>
      </c>
      <c r="B5" s="1">
        <v>441658.0</v>
      </c>
      <c r="C5" s="5">
        <f t="shared" si="1"/>
        <v>99.21955734</v>
      </c>
      <c r="D5" s="5">
        <f t="shared" si="2"/>
        <v>3474</v>
      </c>
      <c r="E5" s="5" t="str">
        <f t="shared" si="3"/>
        <v>LASTSIG4</v>
      </c>
      <c r="G5" s="16" t="s">
        <v>196</v>
      </c>
    </row>
    <row r="6">
      <c r="A6" s="1" t="s">
        <v>672</v>
      </c>
      <c r="B6" s="1">
        <v>441196.0</v>
      </c>
      <c r="C6" s="5">
        <f t="shared" si="1"/>
        <v>99.11576791</v>
      </c>
      <c r="D6" s="5">
        <f t="shared" si="2"/>
        <v>3936</v>
      </c>
      <c r="E6" s="5" t="str">
        <f t="shared" si="3"/>
        <v>PCPSARS2</v>
      </c>
      <c r="G6" s="16" t="s">
        <v>382</v>
      </c>
    </row>
    <row r="7">
      <c r="A7" s="1" t="s">
        <v>673</v>
      </c>
      <c r="B7" s="1">
        <v>441186.0</v>
      </c>
      <c r="C7" s="5">
        <f t="shared" si="1"/>
        <v>99.11352138</v>
      </c>
      <c r="D7" s="5">
        <f t="shared" si="2"/>
        <v>3946</v>
      </c>
      <c r="E7" s="5" t="str">
        <f t="shared" si="3"/>
        <v>PSATIME1</v>
      </c>
      <c r="G7" s="16" t="s">
        <v>380</v>
      </c>
    </row>
    <row r="8">
      <c r="A8" s="1" t="s">
        <v>674</v>
      </c>
      <c r="B8" s="1">
        <v>440738.0</v>
      </c>
      <c r="C8" s="5">
        <f t="shared" si="1"/>
        <v>99.01287708</v>
      </c>
      <c r="D8" s="5">
        <f t="shared" si="2"/>
        <v>4394</v>
      </c>
      <c r="E8" s="5" t="str">
        <f t="shared" si="3"/>
        <v>PSASUGST</v>
      </c>
      <c r="G8" s="16" t="s">
        <v>422</v>
      </c>
    </row>
    <row r="9">
      <c r="A9" s="1" t="s">
        <v>675</v>
      </c>
      <c r="B9" s="1">
        <v>440138.0</v>
      </c>
      <c r="C9" s="5">
        <f t="shared" si="1"/>
        <v>98.8780856</v>
      </c>
      <c r="D9" s="5">
        <f t="shared" si="2"/>
        <v>4994</v>
      </c>
      <c r="E9" s="5" t="str">
        <f t="shared" si="3"/>
        <v>MENTCIGS</v>
      </c>
      <c r="G9" s="16" t="s">
        <v>502</v>
      </c>
    </row>
    <row r="10">
      <c r="A10" s="1" t="s">
        <v>676</v>
      </c>
      <c r="B10" s="1">
        <v>440126.0</v>
      </c>
      <c r="C10" s="5">
        <f t="shared" si="1"/>
        <v>98.87538977</v>
      </c>
      <c r="D10" s="5">
        <f t="shared" si="2"/>
        <v>5006</v>
      </c>
      <c r="E10" s="5" t="str">
        <f t="shared" si="3"/>
        <v>USEMRJN4</v>
      </c>
      <c r="G10" s="16" t="s">
        <v>494</v>
      </c>
    </row>
    <row r="11">
      <c r="A11" s="1" t="s">
        <v>677</v>
      </c>
      <c r="B11" s="1">
        <v>439804.0</v>
      </c>
      <c r="C11" s="5">
        <f t="shared" si="1"/>
        <v>98.80305168</v>
      </c>
      <c r="D11" s="5">
        <f t="shared" si="2"/>
        <v>5328</v>
      </c>
      <c r="E11" s="5" t="str">
        <f t="shared" si="3"/>
        <v>CASTHNO2</v>
      </c>
      <c r="G11" s="16" t="s">
        <v>564</v>
      </c>
    </row>
    <row r="12">
      <c r="A12" s="1" t="s">
        <v>678</v>
      </c>
      <c r="B12" s="1">
        <v>438364.0</v>
      </c>
      <c r="C12" s="5">
        <f t="shared" si="1"/>
        <v>98.47955213</v>
      </c>
      <c r="D12" s="5">
        <f t="shared" si="2"/>
        <v>6768</v>
      </c>
      <c r="E12" s="5" t="str">
        <f t="shared" si="3"/>
        <v>PCSTALK1</v>
      </c>
      <c r="G12" s="16" t="s">
        <v>425</v>
      </c>
    </row>
    <row r="13">
      <c r="A13" s="1" t="s">
        <v>679</v>
      </c>
      <c r="B13" s="1">
        <v>438189.0</v>
      </c>
      <c r="C13" s="5">
        <f t="shared" si="1"/>
        <v>98.44023795</v>
      </c>
      <c r="D13" s="5">
        <f t="shared" si="2"/>
        <v>6943</v>
      </c>
      <c r="E13" s="5" t="str">
        <f t="shared" si="3"/>
        <v>NUMPHON4</v>
      </c>
      <c r="G13" s="16" t="s">
        <v>135</v>
      </c>
    </row>
    <row r="14">
      <c r="A14" s="1" t="s">
        <v>680</v>
      </c>
      <c r="B14" s="1">
        <v>437952.0</v>
      </c>
      <c r="C14" s="5">
        <f t="shared" si="1"/>
        <v>98.38699532</v>
      </c>
      <c r="D14" s="5">
        <f t="shared" si="2"/>
        <v>7180</v>
      </c>
      <c r="E14" s="5" t="str">
        <f t="shared" si="3"/>
        <v>PSATEST1</v>
      </c>
      <c r="G14" s="16" t="s">
        <v>378</v>
      </c>
    </row>
    <row r="15">
      <c r="A15" s="1" t="s">
        <v>681</v>
      </c>
      <c r="B15" s="1">
        <v>437917.0</v>
      </c>
      <c r="C15" s="5">
        <f t="shared" si="1"/>
        <v>98.37913248</v>
      </c>
      <c r="D15" s="5">
        <f t="shared" si="2"/>
        <v>7215</v>
      </c>
      <c r="E15" s="5" t="str">
        <f t="shared" si="3"/>
        <v>COPDSMOK</v>
      </c>
      <c r="G15" s="16" t="s">
        <v>343</v>
      </c>
    </row>
    <row r="16">
      <c r="A16" s="1" t="s">
        <v>682</v>
      </c>
      <c r="B16" s="1">
        <v>437900.0</v>
      </c>
      <c r="C16" s="5">
        <f t="shared" si="1"/>
        <v>98.37531339</v>
      </c>
      <c r="D16" s="5">
        <f t="shared" si="2"/>
        <v>7232</v>
      </c>
      <c r="E16" s="5" t="str">
        <f t="shared" si="3"/>
        <v>COPDBTST</v>
      </c>
      <c r="G16" s="16" t="s">
        <v>341</v>
      </c>
    </row>
    <row r="17">
      <c r="A17" s="1" t="s">
        <v>683</v>
      </c>
      <c r="B17" s="1">
        <v>437883.0</v>
      </c>
      <c r="C17" s="5">
        <f t="shared" si="1"/>
        <v>98.3714943</v>
      </c>
      <c r="D17" s="5">
        <f t="shared" si="2"/>
        <v>7249</v>
      </c>
      <c r="E17" s="5" t="str">
        <f t="shared" si="3"/>
        <v>COPDBRTH</v>
      </c>
      <c r="G17" s="16" t="s">
        <v>339</v>
      </c>
    </row>
    <row r="18">
      <c r="A18" s="1" t="s">
        <v>684</v>
      </c>
      <c r="B18" s="1">
        <v>437882.0</v>
      </c>
      <c r="C18" s="5">
        <f t="shared" si="1"/>
        <v>98.37126965</v>
      </c>
      <c r="D18" s="5">
        <f t="shared" si="2"/>
        <v>7250</v>
      </c>
      <c r="E18" s="5" t="str">
        <f t="shared" si="3"/>
        <v>CSRVINST</v>
      </c>
      <c r="G18" s="16" t="s">
        <v>365</v>
      </c>
    </row>
    <row r="19">
      <c r="A19" s="1" t="s">
        <v>685</v>
      </c>
      <c r="B19" s="1">
        <v>437870.0</v>
      </c>
      <c r="C19" s="5">
        <f t="shared" si="1"/>
        <v>98.36857382</v>
      </c>
      <c r="D19" s="5">
        <f t="shared" si="2"/>
        <v>7262</v>
      </c>
      <c r="E19" s="5" t="str">
        <f t="shared" si="3"/>
        <v>COPDFLEM</v>
      </c>
      <c r="G19" s="16" t="s">
        <v>337</v>
      </c>
    </row>
    <row r="20">
      <c r="A20" s="1" t="s">
        <v>686</v>
      </c>
      <c r="B20" s="1">
        <v>437863.0</v>
      </c>
      <c r="C20" s="5">
        <f t="shared" si="1"/>
        <v>98.36700125</v>
      </c>
      <c r="D20" s="5">
        <f t="shared" si="2"/>
        <v>7269</v>
      </c>
      <c r="E20" s="5" t="str">
        <f t="shared" si="3"/>
        <v>COPDCOGH</v>
      </c>
      <c r="G20" s="16" t="s">
        <v>335</v>
      </c>
    </row>
    <row r="21">
      <c r="A21" s="1" t="s">
        <v>687</v>
      </c>
      <c r="B21" s="1">
        <v>437786.0</v>
      </c>
      <c r="C21" s="5">
        <f t="shared" si="1"/>
        <v>98.34970301</v>
      </c>
      <c r="D21" s="5">
        <f t="shared" si="2"/>
        <v>7346</v>
      </c>
      <c r="E21" s="5" t="str">
        <f t="shared" si="3"/>
        <v>HPVADVC4</v>
      </c>
      <c r="G21" s="16" t="s">
        <v>312</v>
      </c>
    </row>
    <row r="22">
      <c r="A22" s="1" t="s">
        <v>688</v>
      </c>
      <c r="B22" s="1">
        <v>436735.0</v>
      </c>
      <c r="C22" s="5">
        <f t="shared" si="1"/>
        <v>98.11359327</v>
      </c>
      <c r="D22" s="5">
        <f t="shared" si="2"/>
        <v>8397</v>
      </c>
      <c r="E22" s="5" t="str">
        <f t="shared" si="3"/>
        <v>COVIDINT</v>
      </c>
      <c r="G22" s="16" t="s">
        <v>328</v>
      </c>
    </row>
    <row r="23">
      <c r="A23" s="1" t="s">
        <v>689</v>
      </c>
      <c r="B23" s="1">
        <v>436153.0</v>
      </c>
      <c r="C23" s="5">
        <f t="shared" si="1"/>
        <v>97.98284554</v>
      </c>
      <c r="D23" s="5">
        <f t="shared" si="2"/>
        <v>8979</v>
      </c>
      <c r="E23" s="5" t="str">
        <f t="shared" si="3"/>
        <v>VCLNTES2</v>
      </c>
      <c r="G23" s="16" t="s">
        <v>202</v>
      </c>
    </row>
    <row r="24">
      <c r="A24" s="1" t="s">
        <v>690</v>
      </c>
      <c r="B24" s="1">
        <v>436089.0</v>
      </c>
      <c r="C24" s="5">
        <f t="shared" si="1"/>
        <v>97.96846778</v>
      </c>
      <c r="D24" s="5">
        <f t="shared" si="2"/>
        <v>9043</v>
      </c>
      <c r="E24" s="5" t="str">
        <f t="shared" si="3"/>
        <v>IMFVPLA3</v>
      </c>
      <c r="G24" s="16" t="s">
        <v>309</v>
      </c>
    </row>
    <row r="25">
      <c r="A25" s="1" t="s">
        <v>691</v>
      </c>
      <c r="B25" s="1">
        <v>435403.0</v>
      </c>
      <c r="C25" s="5">
        <f t="shared" si="1"/>
        <v>97.81435619</v>
      </c>
      <c r="D25" s="5">
        <f t="shared" si="2"/>
        <v>9729</v>
      </c>
      <c r="E25" s="5" t="str">
        <f t="shared" si="3"/>
        <v>CSRVCLIN</v>
      </c>
      <c r="G25" s="16" t="s">
        <v>371</v>
      </c>
    </row>
    <row r="26">
      <c r="A26" s="1" t="s">
        <v>692</v>
      </c>
      <c r="B26" s="1">
        <v>435392.0</v>
      </c>
      <c r="C26" s="5">
        <f t="shared" si="1"/>
        <v>97.81188501</v>
      </c>
      <c r="D26" s="5">
        <f t="shared" si="2"/>
        <v>9740</v>
      </c>
      <c r="E26" s="5" t="str">
        <f t="shared" si="3"/>
        <v>CSRVDEIN</v>
      </c>
      <c r="G26" s="16" t="s">
        <v>369</v>
      </c>
    </row>
    <row r="27">
      <c r="A27" s="1" t="s">
        <v>693</v>
      </c>
      <c r="B27" s="1">
        <v>435384.0</v>
      </c>
      <c r="C27" s="5">
        <f t="shared" si="1"/>
        <v>97.81008779</v>
      </c>
      <c r="D27" s="5">
        <f t="shared" si="2"/>
        <v>9748</v>
      </c>
      <c r="E27" s="5" t="str">
        <f t="shared" si="3"/>
        <v>CSRVINSR</v>
      </c>
      <c r="G27" s="16" t="s">
        <v>367</v>
      </c>
    </row>
    <row r="28">
      <c r="A28" s="1" t="s">
        <v>694</v>
      </c>
      <c r="B28" s="1">
        <v>435361.0</v>
      </c>
      <c r="C28" s="5">
        <f t="shared" si="1"/>
        <v>97.80492079</v>
      </c>
      <c r="D28" s="5">
        <f t="shared" si="2"/>
        <v>9771</v>
      </c>
      <c r="E28" s="5" t="str">
        <f t="shared" si="3"/>
        <v>CSRVRTRN</v>
      </c>
      <c r="G28" s="16" t="s">
        <v>363</v>
      </c>
    </row>
    <row r="29">
      <c r="A29" s="1" t="s">
        <v>695</v>
      </c>
      <c r="B29" s="1">
        <v>435349.0</v>
      </c>
      <c r="C29" s="5">
        <f t="shared" si="1"/>
        <v>97.80222496</v>
      </c>
      <c r="D29" s="5">
        <f t="shared" si="2"/>
        <v>9783</v>
      </c>
      <c r="E29" s="5" t="str">
        <f t="shared" si="3"/>
        <v>CSRVSUM</v>
      </c>
      <c r="G29" s="16" t="s">
        <v>361</v>
      </c>
    </row>
    <row r="30">
      <c r="A30" s="1" t="s">
        <v>696</v>
      </c>
      <c r="B30" s="1">
        <v>435325.0</v>
      </c>
      <c r="C30" s="5">
        <f t="shared" si="1"/>
        <v>97.7968333</v>
      </c>
      <c r="D30" s="5">
        <f t="shared" si="2"/>
        <v>9807</v>
      </c>
      <c r="E30" s="5" t="str">
        <f t="shared" si="3"/>
        <v>CSRVDOC1</v>
      </c>
      <c r="G30" s="16" t="s">
        <v>358</v>
      </c>
    </row>
    <row r="31">
      <c r="A31" s="1" t="s">
        <v>697</v>
      </c>
      <c r="B31" s="1">
        <v>433770.0</v>
      </c>
      <c r="C31" s="5">
        <f t="shared" si="1"/>
        <v>97.44749872</v>
      </c>
      <c r="D31" s="5">
        <f t="shared" si="2"/>
        <v>11362</v>
      </c>
      <c r="E31" s="5" t="str">
        <f t="shared" si="3"/>
        <v>SDNATES1</v>
      </c>
      <c r="G31" s="16" t="s">
        <v>206</v>
      </c>
    </row>
    <row r="32">
      <c r="A32" s="1" t="s">
        <v>698</v>
      </c>
      <c r="B32" s="1">
        <v>433738.0</v>
      </c>
      <c r="C32" s="5">
        <f t="shared" si="1"/>
        <v>97.44030984</v>
      </c>
      <c r="D32" s="5">
        <f t="shared" si="2"/>
        <v>11394</v>
      </c>
      <c r="E32" s="5" t="str">
        <f t="shared" si="3"/>
        <v>BLDSTFIT</v>
      </c>
      <c r="G32" s="16" t="s">
        <v>211</v>
      </c>
    </row>
    <row r="33">
      <c r="A33" s="1" t="s">
        <v>699</v>
      </c>
      <c r="B33" s="1">
        <v>433645.0</v>
      </c>
      <c r="C33" s="5">
        <f t="shared" si="1"/>
        <v>97.41941716</v>
      </c>
      <c r="D33" s="5">
        <f t="shared" si="2"/>
        <v>11487</v>
      </c>
      <c r="E33" s="5" t="str">
        <f t="shared" si="3"/>
        <v>MARJOTHR</v>
      </c>
      <c r="G33" s="16" t="s">
        <v>492</v>
      </c>
    </row>
    <row r="34">
      <c r="A34" s="1" t="s">
        <v>700</v>
      </c>
      <c r="B34" s="1">
        <v>433637.0</v>
      </c>
      <c r="C34" s="5">
        <f t="shared" si="1"/>
        <v>97.41761994</v>
      </c>
      <c r="D34" s="5">
        <f t="shared" si="2"/>
        <v>11495</v>
      </c>
      <c r="E34" s="5" t="str">
        <f t="shared" si="3"/>
        <v>MARJDAB</v>
      </c>
      <c r="G34" s="16" t="s">
        <v>490</v>
      </c>
    </row>
    <row r="35">
      <c r="A35" s="1" t="s">
        <v>701</v>
      </c>
      <c r="B35" s="1">
        <v>433629.0</v>
      </c>
      <c r="C35" s="5">
        <f t="shared" si="1"/>
        <v>97.41582272</v>
      </c>
      <c r="D35" s="5">
        <f t="shared" si="2"/>
        <v>11503</v>
      </c>
      <c r="E35" s="5" t="str">
        <f t="shared" si="3"/>
        <v>MARJVAPE</v>
      </c>
      <c r="G35" s="16" t="s">
        <v>488</v>
      </c>
    </row>
    <row r="36">
      <c r="A36" s="1" t="s">
        <v>702</v>
      </c>
      <c r="B36" s="1">
        <v>433628.0</v>
      </c>
      <c r="C36" s="5">
        <f t="shared" si="1"/>
        <v>97.41559807</v>
      </c>
      <c r="D36" s="5">
        <f t="shared" si="2"/>
        <v>11504</v>
      </c>
      <c r="E36" s="5" t="str">
        <f t="shared" si="3"/>
        <v>MARJEAT</v>
      </c>
      <c r="G36" s="16" t="s">
        <v>486</v>
      </c>
    </row>
    <row r="37">
      <c r="A37" s="1" t="s">
        <v>703</v>
      </c>
      <c r="B37" s="1">
        <v>433622.0</v>
      </c>
      <c r="C37" s="5">
        <f t="shared" si="1"/>
        <v>97.41425016</v>
      </c>
      <c r="D37" s="5">
        <f t="shared" si="2"/>
        <v>11510</v>
      </c>
      <c r="E37" s="5" t="str">
        <f t="shared" si="3"/>
        <v>MARJSMOK</v>
      </c>
      <c r="G37" s="16" t="s">
        <v>484</v>
      </c>
    </row>
    <row r="38">
      <c r="A38" s="1" t="s">
        <v>704</v>
      </c>
      <c r="B38" s="1">
        <v>432532.0</v>
      </c>
      <c r="C38" s="5">
        <f t="shared" si="1"/>
        <v>97.16937897</v>
      </c>
      <c r="D38" s="5">
        <f t="shared" si="2"/>
        <v>12600</v>
      </c>
      <c r="E38" s="5" t="str">
        <f t="shared" si="3"/>
        <v>CHKHEMO3</v>
      </c>
      <c r="G38" s="16" t="s">
        <v>289</v>
      </c>
    </row>
    <row r="39">
      <c r="A39" s="1" t="s">
        <v>705</v>
      </c>
      <c r="B39" s="1">
        <v>432532.0</v>
      </c>
      <c r="C39" s="5">
        <f t="shared" si="1"/>
        <v>97.16937897</v>
      </c>
      <c r="D39" s="5">
        <f t="shared" si="2"/>
        <v>12600</v>
      </c>
      <c r="E39" s="5" t="str">
        <f t="shared" si="3"/>
        <v>DIABEDU1</v>
      </c>
      <c r="G39" s="16" t="s">
        <v>305</v>
      </c>
    </row>
    <row r="40">
      <c r="A40" s="1" t="s">
        <v>706</v>
      </c>
      <c r="B40" s="1">
        <v>432532.0</v>
      </c>
      <c r="C40" s="5">
        <f t="shared" si="1"/>
        <v>97.16937897</v>
      </c>
      <c r="D40" s="5">
        <f t="shared" si="2"/>
        <v>12600</v>
      </c>
      <c r="E40" s="5" t="str">
        <f t="shared" si="3"/>
        <v>DIABEYE1</v>
      </c>
      <c r="G40" s="16" t="s">
        <v>295</v>
      </c>
    </row>
    <row r="41">
      <c r="A41" s="1" t="s">
        <v>707</v>
      </c>
      <c r="B41" s="1">
        <v>432532.0</v>
      </c>
      <c r="C41" s="5">
        <f t="shared" si="1"/>
        <v>97.16937897</v>
      </c>
      <c r="D41" s="5">
        <f t="shared" si="2"/>
        <v>12600</v>
      </c>
      <c r="E41" s="5" t="str">
        <f t="shared" si="3"/>
        <v>DIABTYPE</v>
      </c>
      <c r="G41" s="16" t="s">
        <v>283</v>
      </c>
    </row>
    <row r="42">
      <c r="A42" s="1" t="s">
        <v>708</v>
      </c>
      <c r="B42" s="1">
        <v>432532.0</v>
      </c>
      <c r="C42" s="5">
        <f t="shared" si="1"/>
        <v>97.16937897</v>
      </c>
      <c r="D42" s="5">
        <f t="shared" si="2"/>
        <v>12600</v>
      </c>
      <c r="E42" s="5" t="str">
        <f t="shared" si="3"/>
        <v>EYEEXAM1</v>
      </c>
      <c r="G42" s="16" t="s">
        <v>292</v>
      </c>
    </row>
    <row r="43">
      <c r="A43" s="1" t="s">
        <v>709</v>
      </c>
      <c r="B43" s="1">
        <v>432532.0</v>
      </c>
      <c r="C43" s="5">
        <f t="shared" si="1"/>
        <v>97.16937897</v>
      </c>
      <c r="D43" s="5">
        <f t="shared" si="2"/>
        <v>12600</v>
      </c>
      <c r="E43" s="5" t="str">
        <f t="shared" si="3"/>
        <v>FEETSORE</v>
      </c>
      <c r="G43" s="16" t="s">
        <v>307</v>
      </c>
    </row>
    <row r="44">
      <c r="A44" s="1" t="s">
        <v>710</v>
      </c>
      <c r="B44" s="1">
        <v>432532.0</v>
      </c>
      <c r="C44" s="5">
        <f t="shared" si="1"/>
        <v>97.16937897</v>
      </c>
      <c r="D44" s="5">
        <f t="shared" si="2"/>
        <v>12600</v>
      </c>
      <c r="E44" s="5" t="str">
        <f t="shared" si="3"/>
        <v>INSULIN1</v>
      </c>
      <c r="G44" s="16" t="s">
        <v>286</v>
      </c>
    </row>
    <row r="45">
      <c r="A45" s="1" t="s">
        <v>711</v>
      </c>
      <c r="B45" s="1">
        <v>430395.0</v>
      </c>
      <c r="C45" s="5">
        <f t="shared" si="1"/>
        <v>96.68929666</v>
      </c>
      <c r="D45" s="5">
        <f t="shared" si="2"/>
        <v>14737</v>
      </c>
      <c r="E45" s="5" t="str">
        <f t="shared" si="3"/>
        <v>SHINGLE2</v>
      </c>
      <c r="G45" s="16" t="s">
        <v>318</v>
      </c>
    </row>
    <row r="46">
      <c r="A46" s="1" t="s">
        <v>712</v>
      </c>
      <c r="B46" s="1">
        <v>430103.0</v>
      </c>
      <c r="C46" s="5">
        <f t="shared" si="1"/>
        <v>96.62369814</v>
      </c>
      <c r="D46" s="5">
        <f t="shared" si="2"/>
        <v>15029</v>
      </c>
      <c r="E46" s="5" t="str">
        <f t="shared" si="3"/>
        <v>HEATTBCO</v>
      </c>
      <c r="G46" s="16" t="s">
        <v>506</v>
      </c>
    </row>
    <row r="47">
      <c r="A47" s="1" t="s">
        <v>713</v>
      </c>
      <c r="B47" s="1">
        <v>428035.0</v>
      </c>
      <c r="C47" s="5">
        <f t="shared" si="1"/>
        <v>96.15911685</v>
      </c>
      <c r="D47" s="5">
        <f t="shared" si="2"/>
        <v>17097</v>
      </c>
      <c r="E47" s="5" t="str">
        <f t="shared" si="3"/>
        <v>CSRVPAIN</v>
      </c>
      <c r="G47" s="16" t="s">
        <v>373</v>
      </c>
    </row>
    <row r="48">
      <c r="A48" s="1" t="s">
        <v>714</v>
      </c>
      <c r="B48" s="1">
        <v>427830.0</v>
      </c>
      <c r="C48" s="5">
        <f t="shared" si="1"/>
        <v>96.11306309</v>
      </c>
      <c r="D48" s="5">
        <f t="shared" si="2"/>
        <v>17302</v>
      </c>
      <c r="E48" s="5" t="str">
        <f t="shared" si="3"/>
        <v>CSRVTRT3</v>
      </c>
      <c r="G48" s="16" t="s">
        <v>355</v>
      </c>
    </row>
    <row r="49">
      <c r="A49" s="1" t="s">
        <v>715</v>
      </c>
      <c r="B49" s="1">
        <v>426243.0</v>
      </c>
      <c r="C49" s="5">
        <f t="shared" si="1"/>
        <v>95.75653963</v>
      </c>
      <c r="D49" s="5">
        <f t="shared" si="2"/>
        <v>18889</v>
      </c>
      <c r="E49" s="5" t="str">
        <f t="shared" si="3"/>
        <v>STOPSMK2</v>
      </c>
      <c r="G49" s="16" t="s">
        <v>500</v>
      </c>
    </row>
    <row r="50">
      <c r="A50" s="1" t="s">
        <v>716</v>
      </c>
      <c r="B50" s="1">
        <v>422588.0</v>
      </c>
      <c r="C50" s="5">
        <f t="shared" si="1"/>
        <v>94.93543488</v>
      </c>
      <c r="D50" s="5">
        <f t="shared" si="2"/>
        <v>22544</v>
      </c>
      <c r="E50" s="5" t="str">
        <f t="shared" si="3"/>
        <v>CNCRTYP2</v>
      </c>
      <c r="G50" s="16" t="s">
        <v>352</v>
      </c>
    </row>
    <row r="51">
      <c r="A51" s="1" t="s">
        <v>717</v>
      </c>
      <c r="B51" s="1">
        <v>422567.0</v>
      </c>
      <c r="C51" s="5">
        <f t="shared" si="1"/>
        <v>94.93071718</v>
      </c>
      <c r="D51" s="5">
        <f t="shared" si="2"/>
        <v>22565</v>
      </c>
      <c r="E51" s="5" t="str">
        <f t="shared" si="3"/>
        <v>CNCRAGE</v>
      </c>
      <c r="G51" s="16" t="s">
        <v>349</v>
      </c>
    </row>
    <row r="52">
      <c r="A52" s="1" t="s">
        <v>718</v>
      </c>
      <c r="B52" s="1">
        <v>421733.0</v>
      </c>
      <c r="C52" s="5">
        <f t="shared" si="1"/>
        <v>94.74335703</v>
      </c>
      <c r="D52" s="5">
        <f t="shared" si="2"/>
        <v>23399</v>
      </c>
      <c r="E52" s="5" t="str">
        <f t="shared" si="3"/>
        <v>CNCRDIFF</v>
      </c>
      <c r="G52" s="16" t="s">
        <v>346</v>
      </c>
    </row>
    <row r="53">
      <c r="A53" s="1" t="s">
        <v>719</v>
      </c>
      <c r="B53" s="1">
        <v>418417.0</v>
      </c>
      <c r="C53" s="5">
        <f t="shared" si="1"/>
        <v>93.99840946</v>
      </c>
      <c r="D53" s="5">
        <f t="shared" si="2"/>
        <v>26715</v>
      </c>
      <c r="E53" s="5" t="str">
        <f t="shared" si="3"/>
        <v>COVIDPRM</v>
      </c>
      <c r="G53" s="16" t="s">
        <v>274</v>
      </c>
    </row>
    <row r="54">
      <c r="A54" s="1" t="s">
        <v>720</v>
      </c>
      <c r="B54" s="1">
        <v>414837.0</v>
      </c>
      <c r="C54" s="5">
        <f t="shared" si="1"/>
        <v>93.19415364</v>
      </c>
      <c r="D54" s="5">
        <f t="shared" si="2"/>
        <v>30295</v>
      </c>
      <c r="E54" s="5" t="str">
        <f t="shared" si="3"/>
        <v>COVACGET</v>
      </c>
      <c r="G54" s="16" t="s">
        <v>322</v>
      </c>
    </row>
    <row r="55">
      <c r="A55" s="1" t="s">
        <v>721</v>
      </c>
      <c r="B55" s="1">
        <v>413769.0</v>
      </c>
      <c r="C55" s="5">
        <f t="shared" si="1"/>
        <v>92.95422481</v>
      </c>
      <c r="D55" s="5">
        <f t="shared" si="2"/>
        <v>31363</v>
      </c>
      <c r="E55" s="5" t="str">
        <f t="shared" si="3"/>
        <v>SIGMTES1</v>
      </c>
      <c r="G55" s="16" t="s">
        <v>194</v>
      </c>
    </row>
    <row r="56">
      <c r="A56" s="1" t="s">
        <v>722</v>
      </c>
      <c r="B56" s="1">
        <v>413627.0</v>
      </c>
      <c r="C56" s="5">
        <f t="shared" si="1"/>
        <v>92.92232416</v>
      </c>
      <c r="D56" s="5">
        <f t="shared" si="2"/>
        <v>31505</v>
      </c>
      <c r="E56" s="5" t="str">
        <f t="shared" si="3"/>
        <v>LCSCTWHN</v>
      </c>
      <c r="G56" s="16" t="s">
        <v>237</v>
      </c>
    </row>
    <row r="57">
      <c r="A57" s="1" t="s">
        <v>723</v>
      </c>
      <c r="B57" s="1">
        <v>398512.0</v>
      </c>
      <c r="C57" s="5">
        <f t="shared" si="1"/>
        <v>89.52670219</v>
      </c>
      <c r="D57" s="5">
        <f t="shared" si="2"/>
        <v>46620</v>
      </c>
      <c r="E57" s="5" t="str">
        <f t="shared" si="3"/>
        <v>ASBIRDUC</v>
      </c>
      <c r="G57" s="16" t="s">
        <v>562</v>
      </c>
    </row>
    <row r="58">
      <c r="A58" s="1" t="s">
        <v>724</v>
      </c>
      <c r="B58" s="1">
        <v>397723.0</v>
      </c>
      <c r="C58" s="5">
        <f t="shared" si="1"/>
        <v>89.3494514</v>
      </c>
      <c r="D58" s="5">
        <f t="shared" si="2"/>
        <v>47409</v>
      </c>
      <c r="E58" s="5" t="str">
        <f t="shared" si="3"/>
        <v>LASTSMK2</v>
      </c>
      <c r="G58" s="16" t="s">
        <v>497</v>
      </c>
    </row>
    <row r="59">
      <c r="A59" s="1" t="s">
        <v>725</v>
      </c>
      <c r="B59" s="1">
        <v>397375.0</v>
      </c>
      <c r="C59" s="5">
        <f t="shared" si="1"/>
        <v>89.27127234</v>
      </c>
      <c r="D59" s="5">
        <f t="shared" si="2"/>
        <v>47757</v>
      </c>
      <c r="E59" s="5" t="str">
        <f t="shared" si="3"/>
        <v>ACEADNED</v>
      </c>
      <c r="G59" s="16" t="s">
        <v>456</v>
      </c>
    </row>
    <row r="60">
      <c r="A60" s="1" t="s">
        <v>726</v>
      </c>
      <c r="B60" s="1">
        <v>397311.0</v>
      </c>
      <c r="C60" s="5">
        <f t="shared" si="1"/>
        <v>89.25689458</v>
      </c>
      <c r="D60" s="5">
        <f t="shared" si="2"/>
        <v>47821</v>
      </c>
      <c r="E60" s="5" t="str">
        <f t="shared" si="3"/>
        <v>ACEADSAF</v>
      </c>
      <c r="G60" s="16" t="s">
        <v>453</v>
      </c>
    </row>
    <row r="61">
      <c r="A61" s="1" t="s">
        <v>727</v>
      </c>
      <c r="B61" s="1">
        <v>397256.0</v>
      </c>
      <c r="C61" s="5">
        <f t="shared" si="1"/>
        <v>89.2445387</v>
      </c>
      <c r="D61" s="5">
        <f t="shared" si="2"/>
        <v>47876</v>
      </c>
      <c r="E61" s="5" t="str">
        <f t="shared" si="3"/>
        <v>ACEHVSEX</v>
      </c>
      <c r="G61" s="16" t="s">
        <v>451</v>
      </c>
    </row>
    <row r="62">
      <c r="A62" s="1" t="s">
        <v>728</v>
      </c>
      <c r="B62" s="1">
        <v>397196.0</v>
      </c>
      <c r="C62" s="5">
        <f t="shared" si="1"/>
        <v>89.23105955</v>
      </c>
      <c r="D62" s="5">
        <f t="shared" si="2"/>
        <v>47936</v>
      </c>
      <c r="E62" s="5" t="str">
        <f t="shared" si="3"/>
        <v>ACETTHEM</v>
      </c>
      <c r="G62" s="16" t="s">
        <v>449</v>
      </c>
    </row>
    <row r="63">
      <c r="A63" s="1" t="s">
        <v>729</v>
      </c>
      <c r="B63" s="1">
        <v>397160.0</v>
      </c>
      <c r="C63" s="5">
        <f t="shared" si="1"/>
        <v>89.22297206</v>
      </c>
      <c r="D63" s="5">
        <f t="shared" si="2"/>
        <v>47972</v>
      </c>
      <c r="E63" s="5" t="str">
        <f t="shared" si="3"/>
        <v>ACETOUCH</v>
      </c>
      <c r="G63" s="16" t="s">
        <v>447</v>
      </c>
    </row>
    <row r="64">
      <c r="A64" s="1" t="s">
        <v>730</v>
      </c>
      <c r="B64" s="1">
        <v>397103.0</v>
      </c>
      <c r="C64" s="5">
        <f t="shared" si="1"/>
        <v>89.21016687</v>
      </c>
      <c r="D64" s="5">
        <f t="shared" si="2"/>
        <v>48029</v>
      </c>
      <c r="E64" s="5" t="str">
        <f t="shared" si="3"/>
        <v>ACESWEAR</v>
      </c>
      <c r="G64" s="16" t="s">
        <v>445</v>
      </c>
    </row>
    <row r="65">
      <c r="A65" s="1" t="s">
        <v>731</v>
      </c>
      <c r="B65" s="1">
        <v>397055.0</v>
      </c>
      <c r="C65" s="5">
        <f t="shared" si="1"/>
        <v>89.19938355</v>
      </c>
      <c r="D65" s="5">
        <f t="shared" si="2"/>
        <v>48077</v>
      </c>
      <c r="E65" s="5" t="str">
        <f t="shared" si="3"/>
        <v>ACEHURT1</v>
      </c>
      <c r="G65" s="16" t="s">
        <v>443</v>
      </c>
    </row>
    <row r="66">
      <c r="A66" s="1" t="s">
        <v>732</v>
      </c>
      <c r="B66" s="1">
        <v>397003.0</v>
      </c>
      <c r="C66" s="5">
        <f t="shared" si="1"/>
        <v>89.18770163</v>
      </c>
      <c r="D66" s="5">
        <f t="shared" si="2"/>
        <v>48129</v>
      </c>
      <c r="E66" s="5" t="str">
        <f t="shared" si="3"/>
        <v>ACEPUNCH</v>
      </c>
      <c r="G66" s="16" t="s">
        <v>440</v>
      </c>
    </row>
    <row r="67">
      <c r="A67" s="1" t="s">
        <v>733</v>
      </c>
      <c r="B67" s="1">
        <v>396960.0</v>
      </c>
      <c r="C67" s="5">
        <f t="shared" si="1"/>
        <v>89.17804157</v>
      </c>
      <c r="D67" s="5">
        <f t="shared" si="2"/>
        <v>48172</v>
      </c>
      <c r="E67" s="5" t="str">
        <f t="shared" si="3"/>
        <v>ACEDIVRC</v>
      </c>
      <c r="G67" s="16" t="s">
        <v>437</v>
      </c>
    </row>
    <row r="68">
      <c r="A68" s="1" t="s">
        <v>734</v>
      </c>
      <c r="B68" s="1">
        <v>396938.0</v>
      </c>
      <c r="C68" s="5">
        <f t="shared" si="1"/>
        <v>89.17309922</v>
      </c>
      <c r="D68" s="5">
        <f t="shared" si="2"/>
        <v>48194</v>
      </c>
      <c r="E68" s="5" t="str">
        <f t="shared" si="3"/>
        <v>ACEPRISN</v>
      </c>
      <c r="G68" s="16" t="s">
        <v>435</v>
      </c>
    </row>
    <row r="69">
      <c r="A69" s="1" t="s">
        <v>735</v>
      </c>
      <c r="B69" s="1">
        <v>396912.0</v>
      </c>
      <c r="C69" s="5">
        <f t="shared" si="1"/>
        <v>89.16725825</v>
      </c>
      <c r="D69" s="5">
        <f t="shared" si="2"/>
        <v>48220</v>
      </c>
      <c r="E69" s="5" t="str">
        <f t="shared" si="3"/>
        <v>ACEDRUGS</v>
      </c>
      <c r="G69" s="16" t="s">
        <v>433</v>
      </c>
    </row>
    <row r="70">
      <c r="A70" s="1" t="s">
        <v>736</v>
      </c>
      <c r="B70" s="1">
        <v>396901.0</v>
      </c>
      <c r="C70" s="5">
        <f t="shared" si="1"/>
        <v>89.16478707</v>
      </c>
      <c r="D70" s="5">
        <f t="shared" si="2"/>
        <v>48231</v>
      </c>
      <c r="E70" s="5" t="str">
        <f t="shared" si="3"/>
        <v>ACEDRINK</v>
      </c>
      <c r="G70" s="16" t="s">
        <v>431</v>
      </c>
    </row>
    <row r="71">
      <c r="A71" s="1" t="s">
        <v>737</v>
      </c>
      <c r="B71" s="1">
        <v>396846.0</v>
      </c>
      <c r="C71" s="5">
        <f t="shared" si="1"/>
        <v>89.15243119</v>
      </c>
      <c r="D71" s="5">
        <f t="shared" si="2"/>
        <v>48286</v>
      </c>
      <c r="E71" s="5" t="str">
        <f t="shared" si="3"/>
        <v>ACEDEPRS</v>
      </c>
      <c r="G71" s="16" t="s">
        <v>428</v>
      </c>
    </row>
    <row r="72">
      <c r="A72" s="1" t="s">
        <v>738</v>
      </c>
      <c r="B72" s="1">
        <v>395758.0</v>
      </c>
      <c r="C72" s="5">
        <f t="shared" si="1"/>
        <v>88.90800931</v>
      </c>
      <c r="D72" s="5">
        <f t="shared" si="2"/>
        <v>49374</v>
      </c>
      <c r="E72" s="5" t="str">
        <f t="shared" si="3"/>
        <v>STOLTEST</v>
      </c>
      <c r="G72" s="16" t="s">
        <v>206</v>
      </c>
    </row>
    <row r="73">
      <c r="A73" s="1" t="s">
        <v>739</v>
      </c>
      <c r="B73" s="1">
        <v>385687.0</v>
      </c>
      <c r="C73" s="5">
        <f t="shared" si="1"/>
        <v>86.64553436</v>
      </c>
      <c r="D73" s="5">
        <f t="shared" si="2"/>
        <v>59445</v>
      </c>
      <c r="E73" s="5" t="str">
        <f t="shared" si="3"/>
        <v>ASBIADVC</v>
      </c>
      <c r="G73" s="16" t="s">
        <v>530</v>
      </c>
    </row>
    <row r="74">
      <c r="A74" s="1" t="s">
        <v>740</v>
      </c>
      <c r="B74" s="1">
        <v>384404.0</v>
      </c>
      <c r="C74" s="5">
        <f t="shared" si="1"/>
        <v>86.35730525</v>
      </c>
      <c r="D74" s="5">
        <f t="shared" si="2"/>
        <v>60728</v>
      </c>
      <c r="E74" s="5" t="str">
        <f t="shared" si="3"/>
        <v>ASBIBING</v>
      </c>
      <c r="G74" s="16" t="s">
        <v>512</v>
      </c>
    </row>
    <row r="75">
      <c r="A75" s="1" t="s">
        <v>741</v>
      </c>
      <c r="B75" s="1">
        <v>384292.0</v>
      </c>
      <c r="C75" s="5">
        <f t="shared" si="1"/>
        <v>86.33214417</v>
      </c>
      <c r="D75" s="5">
        <f t="shared" si="2"/>
        <v>60840</v>
      </c>
      <c r="E75" s="5" t="str">
        <f t="shared" si="3"/>
        <v>ASBIDRNK</v>
      </c>
      <c r="G75" s="16" t="s">
        <v>510</v>
      </c>
    </row>
    <row r="76">
      <c r="A76" s="1" t="s">
        <v>742</v>
      </c>
      <c r="B76" s="1">
        <v>384190.0</v>
      </c>
      <c r="C76" s="5">
        <f t="shared" si="1"/>
        <v>86.30922962</v>
      </c>
      <c r="D76" s="5">
        <f t="shared" si="2"/>
        <v>60942</v>
      </c>
      <c r="E76" s="5" t="str">
        <f t="shared" si="3"/>
        <v>ASBIALCH</v>
      </c>
      <c r="G76" s="16" t="s">
        <v>508</v>
      </c>
    </row>
    <row r="77">
      <c r="A77" s="1" t="s">
        <v>743</v>
      </c>
      <c r="B77" s="1">
        <v>383973.0</v>
      </c>
      <c r="C77" s="5">
        <f t="shared" si="1"/>
        <v>86.26048004</v>
      </c>
      <c r="D77" s="5">
        <f t="shared" si="2"/>
        <v>61159</v>
      </c>
      <c r="E77" s="5" t="str">
        <f t="shared" si="3"/>
        <v>DIABAGE4</v>
      </c>
      <c r="G77" s="16" t="s">
        <v>121</v>
      </c>
    </row>
    <row r="78">
      <c r="A78" s="1" t="s">
        <v>744</v>
      </c>
      <c r="B78" s="1">
        <v>383730.0</v>
      </c>
      <c r="C78" s="5">
        <f t="shared" si="1"/>
        <v>86.20588949</v>
      </c>
      <c r="D78" s="5">
        <f t="shared" si="2"/>
        <v>61402</v>
      </c>
      <c r="E78" s="5" t="str">
        <f t="shared" si="3"/>
        <v>STOOLDN2</v>
      </c>
      <c r="G78" s="16" t="s">
        <v>209</v>
      </c>
    </row>
    <row r="79">
      <c r="A79" s="1" t="s">
        <v>745</v>
      </c>
      <c r="B79" s="1">
        <v>383456.0</v>
      </c>
      <c r="C79" s="5">
        <f t="shared" si="1"/>
        <v>86.14433471</v>
      </c>
      <c r="D79" s="5">
        <f t="shared" si="2"/>
        <v>61676</v>
      </c>
      <c r="E79" s="5" t="str">
        <f t="shared" si="3"/>
        <v>SMALSTOL</v>
      </c>
      <c r="G79" s="16" t="s">
        <v>204</v>
      </c>
    </row>
    <row r="80">
      <c r="A80" s="1" t="s">
        <v>746</v>
      </c>
      <c r="B80" s="1">
        <v>383265.0</v>
      </c>
      <c r="C80" s="5">
        <f t="shared" si="1"/>
        <v>86.10142609</v>
      </c>
      <c r="D80" s="5">
        <f t="shared" si="2"/>
        <v>61867</v>
      </c>
      <c r="E80" s="5" t="str">
        <f t="shared" si="3"/>
        <v>VIRCOLO1</v>
      </c>
      <c r="G80" s="16" t="s">
        <v>200</v>
      </c>
    </row>
    <row r="81">
      <c r="A81" s="1" t="s">
        <v>747</v>
      </c>
      <c r="B81" s="1">
        <v>378438.0</v>
      </c>
      <c r="C81" s="5">
        <f t="shared" si="1"/>
        <v>85.01702866</v>
      </c>
      <c r="D81" s="5">
        <f t="shared" si="2"/>
        <v>66694</v>
      </c>
      <c r="E81" s="5" t="str">
        <f t="shared" si="3"/>
        <v>ASTHNOW</v>
      </c>
      <c r="G81" s="16" t="s">
        <v>104</v>
      </c>
    </row>
    <row r="82">
      <c r="A82" s="1" t="s">
        <v>748</v>
      </c>
      <c r="B82" s="1">
        <v>366114.0</v>
      </c>
      <c r="C82" s="5">
        <f t="shared" si="1"/>
        <v>82.24841171</v>
      </c>
      <c r="D82" s="5">
        <f t="shared" si="2"/>
        <v>79018</v>
      </c>
      <c r="E82" s="5" t="str">
        <f t="shared" si="3"/>
        <v>PREGNANT</v>
      </c>
      <c r="G82" s="16" t="s">
        <v>151</v>
      </c>
    </row>
    <row r="83">
      <c r="A83" s="1" t="s">
        <v>749</v>
      </c>
      <c r="B83" s="1">
        <v>362095.0</v>
      </c>
      <c r="C83" s="5">
        <f t="shared" si="1"/>
        <v>81.34553346</v>
      </c>
      <c r="D83" s="5">
        <f t="shared" si="2"/>
        <v>83037</v>
      </c>
      <c r="E83" s="5" t="str">
        <f t="shared" si="3"/>
        <v>RRATWRK2</v>
      </c>
      <c r="G83" s="16" t="s">
        <v>575</v>
      </c>
    </row>
    <row r="84">
      <c r="A84" s="1" t="s">
        <v>750</v>
      </c>
      <c r="B84" s="1">
        <v>350213.0</v>
      </c>
      <c r="C84" s="5">
        <f t="shared" si="1"/>
        <v>78.6762129</v>
      </c>
      <c r="D84" s="5">
        <f t="shared" si="2"/>
        <v>94919</v>
      </c>
      <c r="E84" s="5" t="str">
        <f t="shared" si="3"/>
        <v>MARIJAN1</v>
      </c>
      <c r="G84" s="16" t="s">
        <v>481</v>
      </c>
    </row>
    <row r="85">
      <c r="A85" s="1" t="s">
        <v>751</v>
      </c>
      <c r="B85" s="1">
        <v>349083.0</v>
      </c>
      <c r="C85" s="5">
        <f t="shared" si="1"/>
        <v>78.42235562</v>
      </c>
      <c r="D85" s="5">
        <f t="shared" si="2"/>
        <v>96049</v>
      </c>
      <c r="E85" s="5" t="str">
        <f t="shared" si="3"/>
        <v>NUMHHOL4</v>
      </c>
      <c r="G85" s="16" t="s">
        <v>133</v>
      </c>
    </row>
    <row r="86">
      <c r="A86" s="1" t="s">
        <v>752</v>
      </c>
      <c r="B86" s="1">
        <v>328043.0</v>
      </c>
      <c r="C86" s="5">
        <f t="shared" si="1"/>
        <v>73.6956678</v>
      </c>
      <c r="D86" s="5">
        <f t="shared" si="2"/>
        <v>117089</v>
      </c>
      <c r="E86" s="5" t="str">
        <f t="shared" si="3"/>
        <v>COVIDSE1</v>
      </c>
      <c r="G86" s="16" t="s">
        <v>333</v>
      </c>
    </row>
    <row r="87">
      <c r="A87" s="1" t="s">
        <v>753</v>
      </c>
      <c r="B87" s="1">
        <v>324513.0</v>
      </c>
      <c r="C87" s="5">
        <f t="shared" si="1"/>
        <v>72.90264461</v>
      </c>
      <c r="D87" s="5">
        <f t="shared" si="2"/>
        <v>120619</v>
      </c>
      <c r="E87" s="5" t="str">
        <f t="shared" si="3"/>
        <v>LCSLAST</v>
      </c>
      <c r="G87" s="16" t="s">
        <v>227</v>
      </c>
    </row>
    <row r="88">
      <c r="A88" s="1" t="s">
        <v>754</v>
      </c>
      <c r="B88" s="1">
        <v>321193.0</v>
      </c>
      <c r="C88" s="5">
        <f t="shared" si="1"/>
        <v>72.15679843</v>
      </c>
      <c r="D88" s="5">
        <f t="shared" si="2"/>
        <v>123939</v>
      </c>
      <c r="E88" s="5" t="str">
        <f t="shared" si="3"/>
        <v>COVIDFS1</v>
      </c>
      <c r="G88" s="16" t="s">
        <v>331</v>
      </c>
    </row>
    <row r="89">
      <c r="A89" s="1" t="s">
        <v>755</v>
      </c>
      <c r="B89" s="1">
        <v>320933.0</v>
      </c>
      <c r="C89" s="5">
        <f t="shared" si="1"/>
        <v>72.09838879</v>
      </c>
      <c r="D89" s="5">
        <f t="shared" si="2"/>
        <v>124199</v>
      </c>
      <c r="E89" s="5" t="str">
        <f t="shared" si="3"/>
        <v>COVIDSMP</v>
      </c>
      <c r="G89" s="16" t="s">
        <v>272</v>
      </c>
    </row>
    <row r="90">
      <c r="A90" s="1" t="s">
        <v>756</v>
      </c>
      <c r="B90" s="1">
        <v>320385.0</v>
      </c>
      <c r="C90" s="5">
        <f t="shared" si="1"/>
        <v>71.97527924</v>
      </c>
      <c r="D90" s="5">
        <f t="shared" si="2"/>
        <v>124747</v>
      </c>
      <c r="E90" s="5" t="str">
        <f t="shared" si="3"/>
        <v>COVIDNU1</v>
      </c>
      <c r="G90" s="16" t="s">
        <v>325</v>
      </c>
    </row>
    <row r="91">
      <c r="A91" s="1" t="s">
        <v>757</v>
      </c>
      <c r="B91" s="1">
        <v>309960.0</v>
      </c>
      <c r="C91" s="5">
        <f t="shared" si="1"/>
        <v>69.63327732</v>
      </c>
      <c r="D91" s="5">
        <f t="shared" si="2"/>
        <v>135172</v>
      </c>
      <c r="E91" s="5" t="str">
        <f t="shared" si="3"/>
        <v>CRVCLHPV</v>
      </c>
      <c r="G91" s="16" t="s">
        <v>182</v>
      </c>
    </row>
    <row r="92">
      <c r="A92" s="1" t="s">
        <v>758</v>
      </c>
      <c r="B92" s="1">
        <v>309745.0</v>
      </c>
      <c r="C92" s="5">
        <f t="shared" si="1"/>
        <v>69.58497704</v>
      </c>
      <c r="D92" s="5">
        <f t="shared" si="2"/>
        <v>135387</v>
      </c>
      <c r="E92" s="5" t="str">
        <f t="shared" si="3"/>
        <v>CRVCLPAP</v>
      </c>
      <c r="G92" s="16" t="s">
        <v>180</v>
      </c>
    </row>
    <row r="93">
      <c r="A93" s="1" t="s">
        <v>759</v>
      </c>
      <c r="B93" s="1">
        <v>309555.0</v>
      </c>
      <c r="C93" s="5">
        <f t="shared" si="1"/>
        <v>69.54229307</v>
      </c>
      <c r="D93" s="5">
        <f t="shared" si="2"/>
        <v>135577</v>
      </c>
      <c r="E93" s="5" t="str">
        <f t="shared" si="3"/>
        <v>CRVCLCNC</v>
      </c>
      <c r="G93" s="16" t="s">
        <v>178</v>
      </c>
    </row>
    <row r="94">
      <c r="A94" s="1" t="s">
        <v>760</v>
      </c>
      <c r="B94" s="1">
        <v>304910.0</v>
      </c>
      <c r="C94" s="5">
        <f t="shared" si="1"/>
        <v>68.49878238</v>
      </c>
      <c r="D94" s="5">
        <f t="shared" si="2"/>
        <v>140222</v>
      </c>
      <c r="E94" s="5" t="str">
        <f t="shared" si="3"/>
        <v>PREDIAB2</v>
      </c>
      <c r="G94" s="16" t="s">
        <v>280</v>
      </c>
    </row>
    <row r="95">
      <c r="A95" s="1" t="s">
        <v>761</v>
      </c>
      <c r="B95" s="1">
        <v>304884.0</v>
      </c>
      <c r="C95" s="5">
        <f t="shared" si="1"/>
        <v>68.49294142</v>
      </c>
      <c r="D95" s="5">
        <f t="shared" si="2"/>
        <v>140248</v>
      </c>
      <c r="E95" s="5" t="str">
        <f t="shared" si="3"/>
        <v>PDIABTS1</v>
      </c>
      <c r="G95" s="16" t="s">
        <v>277</v>
      </c>
    </row>
    <row r="96">
      <c r="A96" s="1" t="s">
        <v>762</v>
      </c>
      <c r="B96" s="1">
        <v>292089.0</v>
      </c>
      <c r="C96" s="5">
        <f t="shared" si="1"/>
        <v>65.61851316</v>
      </c>
      <c r="D96" s="5">
        <f t="shared" si="2"/>
        <v>153043</v>
      </c>
      <c r="E96" s="5" t="str">
        <f t="shared" si="3"/>
        <v>COVIDVA1</v>
      </c>
      <c r="G96" s="16" t="s">
        <v>320</v>
      </c>
    </row>
    <row r="97">
      <c r="A97" s="1" t="s">
        <v>763</v>
      </c>
      <c r="B97" s="1">
        <v>288992.0</v>
      </c>
      <c r="C97" s="5">
        <f t="shared" si="1"/>
        <v>64.92276448</v>
      </c>
      <c r="D97" s="5">
        <f t="shared" si="2"/>
        <v>156140</v>
      </c>
      <c r="E97" s="5" t="str">
        <f t="shared" si="3"/>
        <v>LCSNUMCG</v>
      </c>
      <c r="G97" s="16" t="s">
        <v>230</v>
      </c>
    </row>
    <row r="98">
      <c r="A98" s="1" t="s">
        <v>764</v>
      </c>
      <c r="B98" s="1">
        <v>284942.0</v>
      </c>
      <c r="C98" s="5">
        <f t="shared" si="1"/>
        <v>64.01292201</v>
      </c>
      <c r="D98" s="5">
        <f t="shared" si="2"/>
        <v>160190</v>
      </c>
      <c r="E98" s="5" t="str">
        <f t="shared" si="3"/>
        <v>RRPHYSM2</v>
      </c>
      <c r="G98" s="16" t="s">
        <v>621</v>
      </c>
    </row>
    <row r="99">
      <c r="A99" s="1" t="s">
        <v>765</v>
      </c>
      <c r="B99" s="1">
        <v>284624.0</v>
      </c>
      <c r="C99" s="5">
        <f t="shared" si="1"/>
        <v>63.94148253</v>
      </c>
      <c r="D99" s="5">
        <f t="shared" si="2"/>
        <v>160508</v>
      </c>
      <c r="E99" s="5" t="str">
        <f t="shared" si="3"/>
        <v>RRHCARE4</v>
      </c>
      <c r="G99" s="16" t="s">
        <v>617</v>
      </c>
    </row>
    <row r="100">
      <c r="A100" s="1" t="s">
        <v>766</v>
      </c>
      <c r="B100" s="1">
        <v>284167.0</v>
      </c>
      <c r="C100" s="5">
        <f t="shared" si="1"/>
        <v>63.83881635</v>
      </c>
      <c r="D100" s="5">
        <f t="shared" si="2"/>
        <v>160965</v>
      </c>
      <c r="E100" s="5" t="str">
        <f t="shared" si="3"/>
        <v>RRTREAT</v>
      </c>
      <c r="G100" s="16" t="s">
        <v>572</v>
      </c>
    </row>
    <row r="101">
      <c r="A101" s="1" t="s">
        <v>767</v>
      </c>
      <c r="B101" s="1">
        <v>283788.0</v>
      </c>
      <c r="C101" s="5">
        <f t="shared" si="1"/>
        <v>63.75367307</v>
      </c>
      <c r="D101" s="5">
        <f t="shared" si="2"/>
        <v>161344</v>
      </c>
      <c r="E101" s="5" t="str">
        <f t="shared" si="3"/>
        <v>RRCOGNT2</v>
      </c>
      <c r="G101" s="16" t="s">
        <v>569</v>
      </c>
    </row>
    <row r="102">
      <c r="A102" s="1" t="s">
        <v>768</v>
      </c>
      <c r="B102" s="1">
        <v>283417.0</v>
      </c>
      <c r="C102" s="5">
        <f t="shared" si="1"/>
        <v>63.670327</v>
      </c>
      <c r="D102" s="5">
        <f t="shared" si="2"/>
        <v>161715</v>
      </c>
      <c r="E102" s="5" t="str">
        <f t="shared" si="3"/>
        <v>LCSFIRST</v>
      </c>
      <c r="G102" s="16" t="s">
        <v>224</v>
      </c>
    </row>
    <row r="103">
      <c r="A103" s="1" t="s">
        <v>769</v>
      </c>
      <c r="B103" s="1">
        <v>283394.0</v>
      </c>
      <c r="C103" s="5">
        <f t="shared" si="1"/>
        <v>63.66516</v>
      </c>
      <c r="D103" s="5">
        <f t="shared" si="2"/>
        <v>161738</v>
      </c>
      <c r="E103" s="5" t="str">
        <f t="shared" si="3"/>
        <v>RRCLASS3</v>
      </c>
      <c r="G103" s="16" t="s">
        <v>566</v>
      </c>
    </row>
    <row r="104">
      <c r="A104" s="1" t="s">
        <v>770</v>
      </c>
      <c r="B104" s="1">
        <v>281079.0</v>
      </c>
      <c r="C104" s="5">
        <f t="shared" si="1"/>
        <v>63.14508955</v>
      </c>
      <c r="D104" s="5">
        <f t="shared" si="2"/>
        <v>164053</v>
      </c>
      <c r="E104" s="5" t="str">
        <f t="shared" si="3"/>
        <v>SMOKDAY2</v>
      </c>
      <c r="G104" s="16" t="s">
        <v>216</v>
      </c>
    </row>
    <row r="105">
      <c r="A105" s="1" t="s">
        <v>771</v>
      </c>
      <c r="B105" s="1">
        <v>279557.0</v>
      </c>
      <c r="C105" s="5">
        <f t="shared" si="1"/>
        <v>62.8031685</v>
      </c>
      <c r="D105" s="5">
        <f t="shared" si="2"/>
        <v>165575</v>
      </c>
      <c r="E105" s="5" t="str">
        <f t="shared" si="3"/>
        <v>LCSSCNCR</v>
      </c>
      <c r="G105" s="16" t="s">
        <v>235</v>
      </c>
    </row>
    <row r="106">
      <c r="A106" s="1" t="s">
        <v>772</v>
      </c>
      <c r="B106" s="1">
        <v>274020.0</v>
      </c>
      <c r="C106" s="5">
        <f t="shared" si="1"/>
        <v>61.55926781</v>
      </c>
      <c r="D106" s="5">
        <f t="shared" si="2"/>
        <v>171112</v>
      </c>
      <c r="E106" s="5" t="str">
        <f t="shared" si="3"/>
        <v>HOWLONG</v>
      </c>
      <c r="G106" s="16" t="s">
        <v>173</v>
      </c>
    </row>
    <row r="107">
      <c r="A107" s="1" t="s">
        <v>773</v>
      </c>
      <c r="B107" s="1">
        <v>237848.0</v>
      </c>
      <c r="C107" s="5">
        <f t="shared" si="1"/>
        <v>53.43313893</v>
      </c>
      <c r="D107" s="5">
        <f t="shared" si="2"/>
        <v>207284</v>
      </c>
      <c r="E107" s="5" t="str">
        <f t="shared" si="3"/>
        <v>COLNTES1</v>
      </c>
      <c r="G107" s="16" t="s">
        <v>191</v>
      </c>
    </row>
    <row r="108">
      <c r="A108" s="1" t="s">
        <v>774</v>
      </c>
      <c r="B108" s="1">
        <v>236258.0</v>
      </c>
      <c r="C108" s="5">
        <f t="shared" si="1"/>
        <v>53.07594152</v>
      </c>
      <c r="D108" s="5">
        <f t="shared" si="2"/>
        <v>208874</v>
      </c>
      <c r="E108" s="5" t="str">
        <f t="shared" si="3"/>
        <v>FLSHTMY3</v>
      </c>
      <c r="G108" s="16" t="s">
        <v>254</v>
      </c>
    </row>
    <row r="109">
      <c r="A109" s="1" t="s">
        <v>775</v>
      </c>
      <c r="B109" s="1">
        <v>235721.0</v>
      </c>
      <c r="C109" s="5">
        <f t="shared" si="1"/>
        <v>52.95530315</v>
      </c>
      <c r="D109" s="5">
        <f t="shared" si="2"/>
        <v>209411</v>
      </c>
      <c r="E109" s="5" t="str">
        <f t="shared" si="3"/>
        <v>MAXDRNKS</v>
      </c>
      <c r="G109" s="16" t="s">
        <v>249</v>
      </c>
    </row>
    <row r="110">
      <c r="A110" s="1" t="s">
        <v>776</v>
      </c>
      <c r="B110" s="1">
        <v>235283.0</v>
      </c>
      <c r="C110" s="5">
        <f t="shared" si="1"/>
        <v>52.85690537</v>
      </c>
      <c r="D110" s="5">
        <f t="shared" si="2"/>
        <v>209849</v>
      </c>
      <c r="E110" s="5" t="str">
        <f t="shared" si="3"/>
        <v>DRNK3GE5</v>
      </c>
      <c r="G110" s="16" t="s">
        <v>246</v>
      </c>
    </row>
    <row r="111">
      <c r="A111" s="1" t="s">
        <v>777</v>
      </c>
      <c r="B111" s="1">
        <v>234769.0</v>
      </c>
      <c r="C111" s="5">
        <f t="shared" si="1"/>
        <v>52.741434</v>
      </c>
      <c r="D111" s="5">
        <f t="shared" si="2"/>
        <v>210363</v>
      </c>
      <c r="E111" s="5" t="str">
        <f t="shared" si="3"/>
        <v>AVEDRNK3</v>
      </c>
      <c r="G111" s="16" t="s">
        <v>243</v>
      </c>
    </row>
    <row r="112">
      <c r="A112" s="1" t="s">
        <v>778</v>
      </c>
      <c r="B112" s="1">
        <v>232309.0</v>
      </c>
      <c r="C112" s="5">
        <f t="shared" si="1"/>
        <v>52.18878894</v>
      </c>
      <c r="D112" s="5">
        <f t="shared" si="2"/>
        <v>212823</v>
      </c>
      <c r="E112" s="5" t="str">
        <f t="shared" si="3"/>
        <v>COLNSIGM</v>
      </c>
      <c r="G112" s="16" t="s">
        <v>188</v>
      </c>
    </row>
    <row r="113">
      <c r="A113" s="1" t="s">
        <v>779</v>
      </c>
      <c r="B113" s="1">
        <v>227453.0</v>
      </c>
      <c r="C113" s="5">
        <f t="shared" si="1"/>
        <v>51.09787658</v>
      </c>
      <c r="D113" s="5">
        <f t="shared" si="2"/>
        <v>217679</v>
      </c>
      <c r="E113" s="5" t="str">
        <f t="shared" si="3"/>
        <v>HADHYST2</v>
      </c>
      <c r="G113" s="16" t="s">
        <v>184</v>
      </c>
    </row>
    <row r="114">
      <c r="A114" s="1" t="s">
        <v>780</v>
      </c>
      <c r="B114" s="1">
        <v>224318.0</v>
      </c>
      <c r="C114" s="5">
        <f t="shared" si="1"/>
        <v>50.39359111</v>
      </c>
      <c r="D114" s="5">
        <f t="shared" si="2"/>
        <v>220814</v>
      </c>
      <c r="E114" s="5" t="str">
        <f t="shared" si="3"/>
        <v>CERVSCRN</v>
      </c>
      <c r="G114" s="16" t="s">
        <v>176</v>
      </c>
    </row>
    <row r="115">
      <c r="A115" s="1" t="s">
        <v>781</v>
      </c>
      <c r="B115" s="1">
        <v>223319.0</v>
      </c>
      <c r="C115" s="5">
        <f t="shared" si="1"/>
        <v>50.1691633</v>
      </c>
      <c r="D115" s="5">
        <f t="shared" si="2"/>
        <v>221813</v>
      </c>
      <c r="E115" s="5" t="str">
        <f t="shared" si="3"/>
        <v>HADMAM</v>
      </c>
      <c r="G115" s="16" t="s">
        <v>171</v>
      </c>
    </row>
    <row r="116">
      <c r="A116" s="1" t="s">
        <v>782</v>
      </c>
      <c r="B116" s="1">
        <v>193921.0</v>
      </c>
      <c r="C116" s="5">
        <f t="shared" si="1"/>
        <v>43.56483021</v>
      </c>
      <c r="D116" s="5">
        <f t="shared" si="2"/>
        <v>251211</v>
      </c>
      <c r="E116" s="5" t="str">
        <f t="shared" si="3"/>
        <v>SDHSTRE1</v>
      </c>
      <c r="G116" s="16" t="s">
        <v>479</v>
      </c>
    </row>
    <row r="117">
      <c r="A117" s="1" t="s">
        <v>783</v>
      </c>
      <c r="B117" s="1">
        <v>193189.0</v>
      </c>
      <c r="C117" s="5">
        <f t="shared" si="1"/>
        <v>43.40038461</v>
      </c>
      <c r="D117" s="5">
        <f t="shared" si="2"/>
        <v>251943</v>
      </c>
      <c r="E117" s="5" t="str">
        <f t="shared" si="3"/>
        <v>SDHTRNSP</v>
      </c>
      <c r="G117" s="16" t="s">
        <v>477</v>
      </c>
    </row>
    <row r="118">
      <c r="A118" s="1" t="s">
        <v>784</v>
      </c>
      <c r="B118" s="1">
        <v>192853.0</v>
      </c>
      <c r="C118" s="5">
        <f t="shared" si="1"/>
        <v>43.32490138</v>
      </c>
      <c r="D118" s="5">
        <f t="shared" si="2"/>
        <v>252279</v>
      </c>
      <c r="E118" s="5" t="str">
        <f t="shared" si="3"/>
        <v>SDHUTILS</v>
      </c>
      <c r="G118" s="16" t="s">
        <v>475</v>
      </c>
    </row>
    <row r="119">
      <c r="A119" s="1" t="s">
        <v>785</v>
      </c>
      <c r="B119" s="1">
        <v>192610.0</v>
      </c>
      <c r="C119" s="5">
        <f t="shared" si="1"/>
        <v>43.27031083</v>
      </c>
      <c r="D119" s="5">
        <f t="shared" si="2"/>
        <v>252522</v>
      </c>
      <c r="E119" s="5" t="str">
        <f t="shared" si="3"/>
        <v>SDHBILLS</v>
      </c>
      <c r="G119" s="16" t="s">
        <v>473</v>
      </c>
    </row>
    <row r="120">
      <c r="A120" s="1" t="s">
        <v>786</v>
      </c>
      <c r="B120" s="1">
        <v>192303.0</v>
      </c>
      <c r="C120" s="5">
        <f t="shared" si="1"/>
        <v>43.20134252</v>
      </c>
      <c r="D120" s="5">
        <f t="shared" si="2"/>
        <v>252829</v>
      </c>
      <c r="E120" s="5" t="str">
        <f t="shared" si="3"/>
        <v>SDHFOOD1</v>
      </c>
      <c r="G120" s="16" t="s">
        <v>471</v>
      </c>
    </row>
    <row r="121">
      <c r="A121" s="1" t="s">
        <v>787</v>
      </c>
      <c r="B121" s="1">
        <v>191893.0</v>
      </c>
      <c r="C121" s="5">
        <f t="shared" si="1"/>
        <v>43.10923501</v>
      </c>
      <c r="D121" s="5">
        <f t="shared" si="2"/>
        <v>253239</v>
      </c>
      <c r="E121" s="5" t="str">
        <f t="shared" si="3"/>
        <v>FOODSTMP</v>
      </c>
      <c r="G121" s="16" t="s">
        <v>469</v>
      </c>
    </row>
    <row r="122">
      <c r="A122" s="1" t="s">
        <v>788</v>
      </c>
      <c r="B122" s="1">
        <v>191617.0</v>
      </c>
      <c r="C122" s="5">
        <f t="shared" si="1"/>
        <v>43.04723093</v>
      </c>
      <c r="D122" s="5">
        <f t="shared" si="2"/>
        <v>253515</v>
      </c>
      <c r="E122" s="5" t="str">
        <f t="shared" si="3"/>
        <v>SDHEMPLY</v>
      </c>
      <c r="G122" s="16" t="s">
        <v>466</v>
      </c>
    </row>
    <row r="123">
      <c r="A123" s="1" t="s">
        <v>789</v>
      </c>
      <c r="B123" s="1">
        <v>191342.0</v>
      </c>
      <c r="C123" s="5">
        <f t="shared" si="1"/>
        <v>42.98545151</v>
      </c>
      <c r="D123" s="5">
        <f t="shared" si="2"/>
        <v>253790</v>
      </c>
      <c r="E123" s="5" t="str">
        <f t="shared" si="3"/>
        <v>SDHISOLT</v>
      </c>
      <c r="G123" s="16" t="s">
        <v>464</v>
      </c>
    </row>
    <row r="124">
      <c r="A124" s="1" t="s">
        <v>790</v>
      </c>
      <c r="B124" s="1">
        <v>190991.0</v>
      </c>
      <c r="C124" s="5">
        <f t="shared" si="1"/>
        <v>42.90659849</v>
      </c>
      <c r="D124" s="5">
        <f t="shared" si="2"/>
        <v>254141</v>
      </c>
      <c r="E124" s="5" t="str">
        <f t="shared" si="3"/>
        <v>EMTSUPRT</v>
      </c>
      <c r="G124" s="16" t="s">
        <v>461</v>
      </c>
    </row>
    <row r="125">
      <c r="A125" s="1" t="s">
        <v>791</v>
      </c>
      <c r="B125" s="1">
        <v>190644.0</v>
      </c>
      <c r="C125" s="5">
        <f t="shared" si="1"/>
        <v>42.82864409</v>
      </c>
      <c r="D125" s="5">
        <f t="shared" si="2"/>
        <v>254488</v>
      </c>
      <c r="E125" s="5" t="str">
        <f t="shared" si="3"/>
        <v>LSATISFY</v>
      </c>
      <c r="G125" s="16" t="s">
        <v>458</v>
      </c>
    </row>
    <row r="126">
      <c r="A126" s="1" t="s">
        <v>792</v>
      </c>
      <c r="B126" s="1">
        <v>189386.0</v>
      </c>
      <c r="C126" s="5">
        <f t="shared" si="1"/>
        <v>42.54603129</v>
      </c>
      <c r="D126" s="5">
        <f t="shared" si="2"/>
        <v>255746</v>
      </c>
      <c r="E126" s="5" t="str">
        <f t="shared" si="3"/>
        <v>POORHLTH</v>
      </c>
      <c r="G126" s="16" t="s">
        <v>71</v>
      </c>
    </row>
    <row r="127">
      <c r="A127" s="1" t="s">
        <v>793</v>
      </c>
      <c r="B127" s="1">
        <v>154046.0</v>
      </c>
      <c r="C127" s="5">
        <f t="shared" si="1"/>
        <v>34.60681326</v>
      </c>
      <c r="D127" s="5">
        <f t="shared" si="2"/>
        <v>291086</v>
      </c>
      <c r="E127" s="5" t="str">
        <f t="shared" si="3"/>
        <v>COLNCNCR</v>
      </c>
      <c r="G127" s="16" t="s">
        <v>198</v>
      </c>
    </row>
    <row r="128">
      <c r="A128" s="1" t="s">
        <v>794</v>
      </c>
      <c r="B128" s="1">
        <v>152413.0</v>
      </c>
      <c r="C128" s="5">
        <f t="shared" si="1"/>
        <v>34.23995579</v>
      </c>
      <c r="D128" s="5">
        <f t="shared" si="2"/>
        <v>292719</v>
      </c>
      <c r="E128" s="5" t="str">
        <f t="shared" si="3"/>
        <v>HADSIGM4</v>
      </c>
      <c r="G128" s="16" t="s">
        <v>186</v>
      </c>
    </row>
    <row r="129">
      <c r="A129" s="1" t="s">
        <v>795</v>
      </c>
      <c r="B129" s="1">
        <v>49235.0</v>
      </c>
      <c r="C129" s="5">
        <f t="shared" si="1"/>
        <v>11.060764</v>
      </c>
      <c r="D129" s="5">
        <f t="shared" si="2"/>
        <v>395897</v>
      </c>
      <c r="E129" s="5" t="str">
        <f t="shared" si="3"/>
        <v>COVIDPOS</v>
      </c>
      <c r="G129" s="16" t="s">
        <v>269</v>
      </c>
    </row>
    <row r="130">
      <c r="A130" s="1" t="s">
        <v>796</v>
      </c>
      <c r="B130" s="1">
        <v>45383.0</v>
      </c>
      <c r="C130" s="5">
        <f t="shared" si="1"/>
        <v>10.19540271</v>
      </c>
      <c r="D130" s="5">
        <f t="shared" si="2"/>
        <v>399749</v>
      </c>
      <c r="E130" s="5" t="str">
        <f t="shared" si="3"/>
        <v>TETANUS1</v>
      </c>
      <c r="G130" s="16" t="s">
        <v>266</v>
      </c>
    </row>
    <row r="131">
      <c r="A131" s="1" t="s">
        <v>797</v>
      </c>
      <c r="B131" s="1">
        <v>44732.0</v>
      </c>
      <c r="C131" s="5">
        <f t="shared" si="1"/>
        <v>10.04915396</v>
      </c>
      <c r="D131" s="5">
        <f t="shared" si="2"/>
        <v>400400</v>
      </c>
      <c r="E131" s="5" t="str">
        <f t="shared" si="3"/>
        <v>PNEUVAC4</v>
      </c>
      <c r="G131" s="16" t="s">
        <v>264</v>
      </c>
    </row>
    <row r="132">
      <c r="A132" s="1" t="s">
        <v>798</v>
      </c>
      <c r="B132" s="1">
        <v>43593.0</v>
      </c>
      <c r="C132" s="5">
        <f t="shared" si="1"/>
        <v>9.793274804</v>
      </c>
      <c r="D132" s="5">
        <f t="shared" si="2"/>
        <v>401539</v>
      </c>
      <c r="E132" s="5" t="str">
        <f t="shared" si="3"/>
        <v>FLUSHOT7</v>
      </c>
      <c r="G132" s="16" t="s">
        <v>252</v>
      </c>
    </row>
    <row r="133">
      <c r="A133" s="1" t="s">
        <v>799</v>
      </c>
      <c r="B133" s="1">
        <v>40763.0</v>
      </c>
      <c r="C133" s="5">
        <f t="shared" si="1"/>
        <v>9.157508335</v>
      </c>
      <c r="D133" s="5">
        <f t="shared" si="2"/>
        <v>404369</v>
      </c>
      <c r="E133" s="5" t="str">
        <f t="shared" si="3"/>
        <v>ALCDAY4</v>
      </c>
      <c r="G133" s="16" t="s">
        <v>240</v>
      </c>
    </row>
    <row r="134">
      <c r="A134" s="1" t="s">
        <v>800</v>
      </c>
      <c r="B134" s="1">
        <v>38210.0</v>
      </c>
      <c r="C134" s="5">
        <f t="shared" si="1"/>
        <v>8.583970597</v>
      </c>
      <c r="D134" s="5">
        <f t="shared" si="2"/>
        <v>406922</v>
      </c>
      <c r="E134" s="5" t="str">
        <f t="shared" si="3"/>
        <v>LCSCTSC1</v>
      </c>
      <c r="G134" s="16" t="s">
        <v>233</v>
      </c>
    </row>
    <row r="135">
      <c r="A135" s="1" t="s">
        <v>801</v>
      </c>
      <c r="B135" s="1">
        <v>33579.0</v>
      </c>
      <c r="C135" s="5">
        <f t="shared" si="1"/>
        <v>7.543605043</v>
      </c>
      <c r="D135" s="5">
        <f t="shared" si="2"/>
        <v>411553</v>
      </c>
      <c r="E135" s="5" t="str">
        <f t="shared" si="3"/>
        <v>ECIGNOW2</v>
      </c>
      <c r="G135" s="16" t="s">
        <v>221</v>
      </c>
    </row>
    <row r="136">
      <c r="A136" s="1" t="s">
        <v>802</v>
      </c>
      <c r="B136" s="1">
        <v>32600.0</v>
      </c>
      <c r="C136" s="5">
        <f t="shared" si="1"/>
        <v>7.323670282</v>
      </c>
      <c r="D136" s="5">
        <f t="shared" si="2"/>
        <v>412532</v>
      </c>
      <c r="E136" s="5" t="str">
        <f t="shared" si="3"/>
        <v>USENOW3</v>
      </c>
      <c r="G136" s="16" t="s">
        <v>219</v>
      </c>
    </row>
    <row r="137">
      <c r="A137" s="1" t="s">
        <v>803</v>
      </c>
      <c r="B137" s="1">
        <v>31777.0</v>
      </c>
      <c r="C137" s="5">
        <f t="shared" si="1"/>
        <v>7.138781305</v>
      </c>
      <c r="D137" s="5">
        <f t="shared" si="2"/>
        <v>413355</v>
      </c>
      <c r="E137" s="5" t="str">
        <f t="shared" si="3"/>
        <v>SMOKE100</v>
      </c>
      <c r="G137" s="16" t="s">
        <v>214</v>
      </c>
    </row>
    <row r="138">
      <c r="A138" s="1" t="s">
        <v>804</v>
      </c>
      <c r="B138" s="1">
        <v>23942.0</v>
      </c>
      <c r="C138" s="5">
        <f t="shared" si="1"/>
        <v>5.378629261</v>
      </c>
      <c r="D138" s="5">
        <f t="shared" si="2"/>
        <v>421190</v>
      </c>
      <c r="E138" s="5" t="str">
        <f t="shared" si="3"/>
        <v>DIFFALON</v>
      </c>
      <c r="G138" s="16" t="s">
        <v>169</v>
      </c>
    </row>
    <row r="139">
      <c r="A139" s="1" t="s">
        <v>805</v>
      </c>
      <c r="B139" s="1">
        <v>22879.0</v>
      </c>
      <c r="C139" s="5">
        <f t="shared" si="1"/>
        <v>5.139823693</v>
      </c>
      <c r="D139" s="5">
        <f t="shared" si="2"/>
        <v>422253</v>
      </c>
      <c r="E139" s="5" t="str">
        <f t="shared" si="3"/>
        <v>DIFFDRES</v>
      </c>
      <c r="G139" s="16" t="s">
        <v>167</v>
      </c>
    </row>
    <row r="140">
      <c r="A140" s="1" t="s">
        <v>806</v>
      </c>
      <c r="B140" s="1">
        <v>22155.0</v>
      </c>
      <c r="C140" s="5">
        <f t="shared" si="1"/>
        <v>4.97717531</v>
      </c>
      <c r="D140" s="5">
        <f t="shared" si="2"/>
        <v>422977</v>
      </c>
      <c r="E140" s="5" t="str">
        <f t="shared" si="3"/>
        <v>DIFFWALK</v>
      </c>
      <c r="G140" s="16" t="s">
        <v>165</v>
      </c>
    </row>
    <row r="141">
      <c r="A141" s="1" t="s">
        <v>807</v>
      </c>
      <c r="B141" s="1">
        <v>20986.0</v>
      </c>
      <c r="C141" s="5">
        <f t="shared" si="1"/>
        <v>4.714556581</v>
      </c>
      <c r="D141" s="5">
        <f t="shared" si="2"/>
        <v>424146</v>
      </c>
      <c r="E141" s="5" t="str">
        <f t="shared" si="3"/>
        <v>DECIDE</v>
      </c>
      <c r="G141" s="16" t="s">
        <v>163</v>
      </c>
    </row>
    <row r="142">
      <c r="A142" s="1" t="s">
        <v>808</v>
      </c>
      <c r="B142" s="1">
        <v>19855.0</v>
      </c>
      <c r="C142" s="5">
        <f t="shared" si="1"/>
        <v>4.460474646</v>
      </c>
      <c r="D142" s="5">
        <f t="shared" si="2"/>
        <v>425277</v>
      </c>
      <c r="E142" s="5" t="str">
        <f t="shared" si="3"/>
        <v>BLIND</v>
      </c>
      <c r="G142" s="16" t="s">
        <v>161</v>
      </c>
    </row>
    <row r="143">
      <c r="A143" s="1" t="s">
        <v>809</v>
      </c>
      <c r="B143" s="1">
        <v>18644.0</v>
      </c>
      <c r="C143" s="5">
        <f t="shared" si="1"/>
        <v>4.188420513</v>
      </c>
      <c r="D143" s="5">
        <f t="shared" si="2"/>
        <v>426488</v>
      </c>
      <c r="E143" s="5" t="str">
        <f t="shared" si="3"/>
        <v>DEAF</v>
      </c>
      <c r="G143" s="16" t="s">
        <v>159</v>
      </c>
    </row>
    <row r="144">
      <c r="A144" s="1" t="s">
        <v>810</v>
      </c>
      <c r="B144" s="1">
        <v>17055.0</v>
      </c>
      <c r="C144" s="5">
        <f t="shared" si="1"/>
        <v>3.83144775</v>
      </c>
      <c r="D144" s="5">
        <f t="shared" si="2"/>
        <v>428077</v>
      </c>
      <c r="E144" s="5" t="str">
        <f t="shared" si="3"/>
        <v>HEIGHT3</v>
      </c>
      <c r="G144" s="16" t="s">
        <v>156</v>
      </c>
    </row>
    <row r="145">
      <c r="A145" s="1" t="s">
        <v>811</v>
      </c>
      <c r="B145" s="1">
        <v>15901.0</v>
      </c>
      <c r="C145" s="5">
        <f t="shared" si="1"/>
        <v>3.572198808</v>
      </c>
      <c r="D145" s="5">
        <f t="shared" si="2"/>
        <v>429231</v>
      </c>
      <c r="E145" s="5" t="str">
        <f t="shared" si="3"/>
        <v>WEIGHT2</v>
      </c>
      <c r="G145" s="16" t="s">
        <v>153</v>
      </c>
    </row>
    <row r="146">
      <c r="A146" s="1" t="s">
        <v>812</v>
      </c>
      <c r="B146" s="1">
        <v>12932.0</v>
      </c>
      <c r="C146" s="5">
        <f t="shared" si="1"/>
        <v>2.905205647</v>
      </c>
      <c r="D146" s="5">
        <f t="shared" si="2"/>
        <v>432200</v>
      </c>
      <c r="E146" s="5" t="str">
        <f t="shared" si="3"/>
        <v>INCOME3</v>
      </c>
      <c r="G146" s="16" t="s">
        <v>148</v>
      </c>
    </row>
    <row r="147">
      <c r="A147" s="1" t="s">
        <v>813</v>
      </c>
      <c r="B147" s="1">
        <v>9312.0</v>
      </c>
      <c r="C147" s="5">
        <f t="shared" si="1"/>
        <v>2.091963732</v>
      </c>
      <c r="D147" s="5">
        <f t="shared" si="2"/>
        <v>435820</v>
      </c>
      <c r="E147" s="5" t="str">
        <f t="shared" si="3"/>
        <v>CHILDREN</v>
      </c>
      <c r="G147" s="16" t="s">
        <v>145</v>
      </c>
    </row>
    <row r="148">
      <c r="A148" s="1" t="s">
        <v>814</v>
      </c>
      <c r="B148" s="1">
        <v>6196.0</v>
      </c>
      <c r="C148" s="5">
        <f t="shared" si="1"/>
        <v>1.391946659</v>
      </c>
      <c r="D148" s="5">
        <f t="shared" si="2"/>
        <v>438936</v>
      </c>
      <c r="E148" s="5" t="str">
        <f t="shared" si="3"/>
        <v>EMPLOY1</v>
      </c>
      <c r="G148" s="16" t="s">
        <v>142</v>
      </c>
    </row>
    <row r="149">
      <c r="A149" s="1" t="s">
        <v>815</v>
      </c>
      <c r="B149" s="1">
        <v>4173.0</v>
      </c>
      <c r="C149" s="5">
        <f t="shared" si="1"/>
        <v>0.9374747266</v>
      </c>
      <c r="D149" s="5">
        <f t="shared" si="2"/>
        <v>440959</v>
      </c>
      <c r="E149" s="5" t="str">
        <f t="shared" si="3"/>
        <v>VETERAN3</v>
      </c>
      <c r="G149" s="16" t="s">
        <v>140</v>
      </c>
    </row>
    <row r="150">
      <c r="A150" s="1" t="s">
        <v>816</v>
      </c>
      <c r="B150" s="1">
        <v>2827.0</v>
      </c>
      <c r="C150" s="5">
        <f t="shared" si="1"/>
        <v>0.6350925119</v>
      </c>
      <c r="D150" s="5">
        <f t="shared" si="2"/>
        <v>442305</v>
      </c>
      <c r="E150" s="5" t="str">
        <f t="shared" si="3"/>
        <v>CPDEMO1C</v>
      </c>
      <c r="G150" s="16" t="s">
        <v>138</v>
      </c>
    </row>
    <row r="151">
      <c r="A151" s="1" t="s">
        <v>817</v>
      </c>
      <c r="B151" s="1">
        <v>1363.0</v>
      </c>
      <c r="C151" s="5">
        <f t="shared" si="1"/>
        <v>0.3062013066</v>
      </c>
      <c r="D151" s="5">
        <f t="shared" si="2"/>
        <v>443769</v>
      </c>
      <c r="E151" s="5" t="str">
        <f t="shared" si="3"/>
        <v>LASTDEN4</v>
      </c>
      <c r="G151" s="16" t="s">
        <v>90</v>
      </c>
    </row>
    <row r="152">
      <c r="A152" s="1" t="s">
        <v>818</v>
      </c>
      <c r="B152" s="1">
        <v>1363.0</v>
      </c>
      <c r="C152" s="5">
        <f t="shared" si="1"/>
        <v>0.3062013066</v>
      </c>
      <c r="D152" s="5">
        <f t="shared" si="2"/>
        <v>443769</v>
      </c>
      <c r="E152" s="5" t="str">
        <f t="shared" si="3"/>
        <v>RMVTETH4</v>
      </c>
      <c r="G152" s="16" t="s">
        <v>93</v>
      </c>
    </row>
    <row r="153">
      <c r="A153" s="1" t="s">
        <v>819</v>
      </c>
      <c r="B153" s="1">
        <v>9.0</v>
      </c>
      <c r="C153" s="5">
        <f t="shared" si="1"/>
        <v>0.002021872164</v>
      </c>
      <c r="D153" s="5">
        <f t="shared" si="2"/>
        <v>445123</v>
      </c>
      <c r="E153" s="5" t="str">
        <f t="shared" si="3"/>
        <v>RENTHOM1</v>
      </c>
      <c r="F153" s="5" t="str">
        <f t="shared" ref="F153:F175" si="4">concat(E153, " IS NULL OR ")</f>
        <v>RENTHOM1 IS NULL OR </v>
      </c>
      <c r="G153" s="16" t="s">
        <v>130</v>
      </c>
    </row>
    <row r="154">
      <c r="A154" s="1" t="s">
        <v>820</v>
      </c>
      <c r="B154" s="1">
        <v>8.0</v>
      </c>
      <c r="C154" s="5">
        <f t="shared" si="1"/>
        <v>0.001797219701</v>
      </c>
      <c r="D154" s="5">
        <f t="shared" si="2"/>
        <v>445124</v>
      </c>
      <c r="E154" s="5" t="str">
        <f t="shared" si="3"/>
        <v>MARITAL</v>
      </c>
      <c r="F154" s="5" t="str">
        <f t="shared" si="4"/>
        <v>MARITAL IS NULL OR </v>
      </c>
      <c r="G154" s="16" t="s">
        <v>124</v>
      </c>
    </row>
    <row r="155">
      <c r="A155" s="1" t="s">
        <v>821</v>
      </c>
      <c r="B155" s="1">
        <v>7.0</v>
      </c>
      <c r="C155" s="5">
        <f t="shared" si="1"/>
        <v>0.001572567238</v>
      </c>
      <c r="D155" s="5">
        <f t="shared" si="2"/>
        <v>445125</v>
      </c>
      <c r="E155" s="5" t="str">
        <f t="shared" si="3"/>
        <v>ADDEPEV3</v>
      </c>
      <c r="F155" s="5" t="str">
        <f t="shared" si="4"/>
        <v>ADDEPEV3 IS NULL OR </v>
      </c>
      <c r="G155" s="16" t="s">
        <v>112</v>
      </c>
    </row>
    <row r="156">
      <c r="A156" s="1" t="s">
        <v>822</v>
      </c>
      <c r="B156" s="1">
        <v>5.0</v>
      </c>
      <c r="C156" s="5">
        <f t="shared" si="1"/>
        <v>0.001123262313</v>
      </c>
      <c r="D156" s="5">
        <f t="shared" si="2"/>
        <v>445127</v>
      </c>
      <c r="E156" s="5" t="str">
        <f t="shared" si="3"/>
        <v>EDUCA</v>
      </c>
      <c r="F156" s="5" t="str">
        <f t="shared" si="4"/>
        <v>EDUCA IS NULL OR </v>
      </c>
      <c r="G156" s="16" t="s">
        <v>127</v>
      </c>
    </row>
    <row r="157">
      <c r="A157" s="1" t="s">
        <v>823</v>
      </c>
      <c r="B157" s="1">
        <v>5.0</v>
      </c>
      <c r="C157" s="5">
        <f t="shared" si="1"/>
        <v>0.001123262313</v>
      </c>
      <c r="D157" s="5">
        <f t="shared" si="2"/>
        <v>445127</v>
      </c>
      <c r="E157" s="5" t="str">
        <f t="shared" si="3"/>
        <v>PHYSHLTH</v>
      </c>
      <c r="F157" s="5" t="str">
        <f t="shared" si="4"/>
        <v>PHYSHLTH IS NULL OR </v>
      </c>
      <c r="G157" s="16" t="s">
        <v>66</v>
      </c>
    </row>
    <row r="158">
      <c r="A158" s="1" t="s">
        <v>824</v>
      </c>
      <c r="B158" s="1">
        <v>4.0</v>
      </c>
      <c r="C158" s="5">
        <f t="shared" si="1"/>
        <v>0.0008986098506</v>
      </c>
      <c r="D158" s="5">
        <f t="shared" si="2"/>
        <v>445128</v>
      </c>
      <c r="E158" s="5" t="str">
        <f t="shared" si="3"/>
        <v>CVDINFR4</v>
      </c>
      <c r="F158" s="5" t="str">
        <f t="shared" si="4"/>
        <v>CVDINFR4 IS NULL OR </v>
      </c>
      <c r="G158" s="16" t="s">
        <v>96</v>
      </c>
    </row>
    <row r="159">
      <c r="A159" s="1" t="s">
        <v>825</v>
      </c>
      <c r="B159" s="1">
        <v>4.0</v>
      </c>
      <c r="C159" s="5">
        <f t="shared" si="1"/>
        <v>0.0008986098506</v>
      </c>
      <c r="D159" s="5">
        <f t="shared" si="2"/>
        <v>445128</v>
      </c>
      <c r="E159" s="5" t="str">
        <f t="shared" si="3"/>
        <v>MEDCOST1</v>
      </c>
      <c r="F159" s="5" t="str">
        <f t="shared" si="4"/>
        <v>MEDCOST1 IS NULL OR </v>
      </c>
      <c r="G159" s="16" t="s">
        <v>79</v>
      </c>
    </row>
    <row r="160">
      <c r="A160" s="1" t="s">
        <v>826</v>
      </c>
      <c r="B160" s="1">
        <v>4.0</v>
      </c>
      <c r="C160" s="5">
        <f t="shared" si="1"/>
        <v>0.0008986098506</v>
      </c>
      <c r="D160" s="5">
        <f t="shared" si="2"/>
        <v>445128</v>
      </c>
      <c r="E160" s="5" t="str">
        <f t="shared" si="3"/>
        <v>PRIMINSR</v>
      </c>
      <c r="F160" s="5" t="str">
        <f t="shared" si="4"/>
        <v>PRIMINSR IS NULL OR </v>
      </c>
      <c r="G160" s="16" t="s">
        <v>73</v>
      </c>
    </row>
    <row r="161">
      <c r="A161" s="1" t="s">
        <v>827</v>
      </c>
      <c r="B161" s="1">
        <v>3.0</v>
      </c>
      <c r="C161" s="5">
        <f t="shared" si="1"/>
        <v>0.0006739573879</v>
      </c>
      <c r="D161" s="5">
        <f t="shared" si="2"/>
        <v>445129</v>
      </c>
      <c r="E161" s="5" t="str">
        <f t="shared" si="3"/>
        <v>CHCOCNC1</v>
      </c>
      <c r="F161" s="5" t="str">
        <f t="shared" si="4"/>
        <v>CHCOCNC1 IS NULL OR </v>
      </c>
      <c r="G161" s="16" t="s">
        <v>108</v>
      </c>
    </row>
    <row r="162">
      <c r="A162" s="1" t="s">
        <v>828</v>
      </c>
      <c r="B162" s="1">
        <v>3.0</v>
      </c>
      <c r="C162" s="5">
        <f t="shared" si="1"/>
        <v>0.0006739573879</v>
      </c>
      <c r="D162" s="5">
        <f t="shared" si="2"/>
        <v>445129</v>
      </c>
      <c r="E162" s="5" t="str">
        <f t="shared" si="3"/>
        <v>CHECKUP1</v>
      </c>
      <c r="F162" s="5" t="str">
        <f t="shared" si="4"/>
        <v>CHECKUP1 IS NULL OR </v>
      </c>
      <c r="G162" s="16" t="s">
        <v>82</v>
      </c>
    </row>
    <row r="163">
      <c r="A163" s="1" t="s">
        <v>829</v>
      </c>
      <c r="B163" s="1">
        <v>3.0</v>
      </c>
      <c r="C163" s="5">
        <f t="shared" si="1"/>
        <v>0.0006739573879</v>
      </c>
      <c r="D163" s="5">
        <f t="shared" si="2"/>
        <v>445129</v>
      </c>
      <c r="E163" s="5" t="str">
        <f t="shared" si="3"/>
        <v>DIABETE4</v>
      </c>
      <c r="F163" s="5" t="str">
        <f t="shared" si="4"/>
        <v>DIABETE4 IS NULL OR </v>
      </c>
      <c r="G163" s="16" t="s">
        <v>118</v>
      </c>
    </row>
    <row r="164">
      <c r="A164" s="1" t="s">
        <v>830</v>
      </c>
      <c r="B164" s="1">
        <v>3.0</v>
      </c>
      <c r="C164" s="5">
        <f t="shared" si="1"/>
        <v>0.0006739573879</v>
      </c>
      <c r="D164" s="5">
        <f t="shared" si="2"/>
        <v>445129</v>
      </c>
      <c r="E164" s="5" t="str">
        <f t="shared" si="3"/>
        <v>GENHLTH</v>
      </c>
      <c r="F164" s="5" t="str">
        <f t="shared" si="4"/>
        <v>GENHLTH IS NULL OR </v>
      </c>
      <c r="G164" s="16" t="s">
        <v>63</v>
      </c>
    </row>
    <row r="165">
      <c r="A165" s="1" t="s">
        <v>831</v>
      </c>
      <c r="B165" s="1">
        <v>3.0</v>
      </c>
      <c r="C165" s="5">
        <f t="shared" si="1"/>
        <v>0.0006739573879</v>
      </c>
      <c r="D165" s="5">
        <f t="shared" si="2"/>
        <v>445129</v>
      </c>
      <c r="E165" s="5" t="str">
        <f t="shared" si="3"/>
        <v>HAVARTH4</v>
      </c>
      <c r="F165" s="5" t="str">
        <f t="shared" si="4"/>
        <v>HAVARTH4 IS NULL OR </v>
      </c>
      <c r="G165" s="16" t="s">
        <v>116</v>
      </c>
    </row>
    <row r="166">
      <c r="A166" s="1" t="s">
        <v>832</v>
      </c>
      <c r="B166" s="1">
        <v>3.0</v>
      </c>
      <c r="C166" s="5">
        <f t="shared" si="1"/>
        <v>0.0006739573879</v>
      </c>
      <c r="D166" s="5">
        <f t="shared" si="2"/>
        <v>445129</v>
      </c>
      <c r="E166" s="5" t="str">
        <f t="shared" si="3"/>
        <v>MENTHLTH</v>
      </c>
      <c r="F166" s="5" t="str">
        <f t="shared" si="4"/>
        <v>MENTHLTH IS NULL OR </v>
      </c>
      <c r="G166" s="16" t="s">
        <v>69</v>
      </c>
    </row>
    <row r="167">
      <c r="A167" s="1" t="s">
        <v>833</v>
      </c>
      <c r="B167" s="1">
        <v>3.0</v>
      </c>
      <c r="C167" s="5">
        <f t="shared" si="1"/>
        <v>0.0006739573879</v>
      </c>
      <c r="D167" s="5">
        <f t="shared" si="2"/>
        <v>445129</v>
      </c>
      <c r="E167" s="5" t="str">
        <f t="shared" si="3"/>
        <v>SLEPTIM1</v>
      </c>
      <c r="F167" s="5" t="str">
        <f t="shared" si="4"/>
        <v>SLEPTIM1 IS NULL OR </v>
      </c>
      <c r="G167" s="16" t="s">
        <v>87</v>
      </c>
    </row>
    <row r="168">
      <c r="A168" s="1" t="s">
        <v>834</v>
      </c>
      <c r="B168" s="1">
        <v>2.0</v>
      </c>
      <c r="C168" s="5">
        <f t="shared" si="1"/>
        <v>0.0004493049253</v>
      </c>
      <c r="D168" s="5">
        <f t="shared" si="2"/>
        <v>445130</v>
      </c>
      <c r="E168" s="5" t="str">
        <f t="shared" si="3"/>
        <v>ASTHMA3</v>
      </c>
      <c r="F168" s="5" t="str">
        <f t="shared" si="4"/>
        <v>ASTHMA3 IS NULL OR </v>
      </c>
      <c r="G168" s="16" t="s">
        <v>102</v>
      </c>
    </row>
    <row r="169">
      <c r="A169" s="1" t="s">
        <v>835</v>
      </c>
      <c r="B169" s="1">
        <v>2.0</v>
      </c>
      <c r="C169" s="5">
        <f t="shared" si="1"/>
        <v>0.0004493049253</v>
      </c>
      <c r="D169" s="5">
        <f t="shared" si="2"/>
        <v>445130</v>
      </c>
      <c r="E169" s="5" t="str">
        <f t="shared" si="3"/>
        <v>CHCCOPD3</v>
      </c>
      <c r="F169" s="5" t="str">
        <f t="shared" si="4"/>
        <v>CHCCOPD3 IS NULL OR </v>
      </c>
      <c r="G169" s="16" t="s">
        <v>110</v>
      </c>
    </row>
    <row r="170">
      <c r="A170" s="1" t="s">
        <v>836</v>
      </c>
      <c r="B170" s="1">
        <v>2.0</v>
      </c>
      <c r="C170" s="5">
        <f t="shared" si="1"/>
        <v>0.0004493049253</v>
      </c>
      <c r="D170" s="5">
        <f t="shared" si="2"/>
        <v>445130</v>
      </c>
      <c r="E170" s="5" t="str">
        <f t="shared" si="3"/>
        <v>CHCKDNY2</v>
      </c>
      <c r="F170" s="5" t="str">
        <f t="shared" si="4"/>
        <v>CHCKDNY2 IS NULL OR </v>
      </c>
      <c r="G170" s="16" t="s">
        <v>114</v>
      </c>
    </row>
    <row r="171">
      <c r="A171" s="1" t="s">
        <v>837</v>
      </c>
      <c r="B171" s="1">
        <v>2.0</v>
      </c>
      <c r="C171" s="5">
        <f t="shared" si="1"/>
        <v>0.0004493049253</v>
      </c>
      <c r="D171" s="5">
        <f t="shared" si="2"/>
        <v>445130</v>
      </c>
      <c r="E171" s="5" t="str">
        <f t="shared" si="3"/>
        <v>CHCSCNC1</v>
      </c>
      <c r="F171" s="5" t="str">
        <f t="shared" si="4"/>
        <v>CHCSCNC1 IS NULL OR </v>
      </c>
      <c r="G171" s="16" t="s">
        <v>106</v>
      </c>
    </row>
    <row r="172">
      <c r="A172" s="1" t="s">
        <v>838</v>
      </c>
      <c r="B172" s="1">
        <v>2.0</v>
      </c>
      <c r="C172" s="5">
        <f t="shared" si="1"/>
        <v>0.0004493049253</v>
      </c>
      <c r="D172" s="5">
        <f t="shared" si="2"/>
        <v>445130</v>
      </c>
      <c r="E172" s="5" t="str">
        <f t="shared" si="3"/>
        <v>CVDCRHD4</v>
      </c>
      <c r="F172" s="5" t="str">
        <f t="shared" si="4"/>
        <v>CVDCRHD4 IS NULL OR </v>
      </c>
      <c r="G172" s="16" t="s">
        <v>98</v>
      </c>
    </row>
    <row r="173">
      <c r="A173" s="1" t="s">
        <v>839</v>
      </c>
      <c r="B173" s="1">
        <v>2.0</v>
      </c>
      <c r="C173" s="5">
        <f t="shared" si="1"/>
        <v>0.0004493049253</v>
      </c>
      <c r="D173" s="5">
        <f t="shared" si="2"/>
        <v>445130</v>
      </c>
      <c r="E173" s="5" t="str">
        <f t="shared" si="3"/>
        <v>CVDSTRK3</v>
      </c>
      <c r="F173" s="5" t="str">
        <f t="shared" si="4"/>
        <v>CVDSTRK3 IS NULL OR </v>
      </c>
      <c r="G173" s="16" t="s">
        <v>100</v>
      </c>
    </row>
    <row r="174">
      <c r="A174" s="1" t="s">
        <v>840</v>
      </c>
      <c r="B174" s="1">
        <v>2.0</v>
      </c>
      <c r="C174" s="5">
        <f t="shared" si="1"/>
        <v>0.0004493049253</v>
      </c>
      <c r="D174" s="5">
        <f t="shared" si="2"/>
        <v>445130</v>
      </c>
      <c r="E174" s="5" t="str">
        <f t="shared" si="3"/>
        <v>EXERANY2</v>
      </c>
      <c r="F174" s="5" t="str">
        <f t="shared" si="4"/>
        <v>EXERANY2 IS NULL OR </v>
      </c>
      <c r="G174" s="16" t="s">
        <v>85</v>
      </c>
    </row>
    <row r="175">
      <c r="A175" s="1" t="s">
        <v>841</v>
      </c>
      <c r="B175" s="1">
        <v>2.0</v>
      </c>
      <c r="C175" s="5">
        <f t="shared" si="1"/>
        <v>0.0004493049253</v>
      </c>
      <c r="D175" s="5">
        <f t="shared" si="2"/>
        <v>445130</v>
      </c>
      <c r="E175" s="5" t="str">
        <f t="shared" si="3"/>
        <v>PERSDOC3</v>
      </c>
      <c r="F175" s="5" t="str">
        <f t="shared" si="4"/>
        <v>PERSDOC3 IS NULL OR </v>
      </c>
      <c r="G175" s="16" t="s">
        <v>76</v>
      </c>
    </row>
    <row r="176">
      <c r="A176" s="1" t="s">
        <v>842</v>
      </c>
      <c r="B176" s="1">
        <v>0.0</v>
      </c>
      <c r="C176" s="5">
        <f t="shared" si="1"/>
        <v>0</v>
      </c>
      <c r="D176" s="5">
        <f t="shared" si="2"/>
        <v>445132</v>
      </c>
      <c r="E176" s="5" t="str">
        <f t="shared" si="3"/>
        <v>_AGE80</v>
      </c>
      <c r="G176" s="16" t="s">
        <v>17</v>
      </c>
    </row>
    <row r="177">
      <c r="A177" s="1" t="s">
        <v>843</v>
      </c>
      <c r="B177" s="1">
        <v>0.0</v>
      </c>
      <c r="C177" s="5">
        <f t="shared" si="1"/>
        <v>0</v>
      </c>
      <c r="D177" s="5">
        <f t="shared" si="2"/>
        <v>445132</v>
      </c>
      <c r="E177" s="5" t="str">
        <f t="shared" si="3"/>
        <v>_SEX</v>
      </c>
      <c r="G177" s="16" t="s">
        <v>15</v>
      </c>
    </row>
    <row r="178">
      <c r="A178" s="1" t="s">
        <v>844</v>
      </c>
      <c r="B178" s="1">
        <v>0.0</v>
      </c>
      <c r="C178" s="5">
        <f t="shared" si="1"/>
        <v>0</v>
      </c>
      <c r="D178" s="5">
        <f t="shared" si="2"/>
        <v>445132</v>
      </c>
      <c r="E178" s="5" t="str">
        <f t="shared" si="3"/>
        <v>_STATE</v>
      </c>
      <c r="G178" s="16" t="s">
        <v>10</v>
      </c>
    </row>
    <row r="179">
      <c r="A179" s="1" t="s">
        <v>845</v>
      </c>
      <c r="B179" s="1">
        <v>0.0</v>
      </c>
      <c r="C179" s="5">
        <f t="shared" si="1"/>
        <v>0</v>
      </c>
      <c r="D179" s="5">
        <f t="shared" si="2"/>
        <v>445132</v>
      </c>
      <c r="E179" s="5" t="str">
        <f t="shared" si="3"/>
        <v>FMONTH</v>
      </c>
      <c r="G179" s="17"/>
    </row>
    <row r="180">
      <c r="A180" s="1" t="s">
        <v>846</v>
      </c>
      <c r="B180" s="1">
        <v>0.0</v>
      </c>
      <c r="C180" s="5">
        <f t="shared" si="1"/>
        <v>0</v>
      </c>
      <c r="D180" s="5">
        <f t="shared" si="2"/>
        <v>445132</v>
      </c>
      <c r="E180" s="5" t="str">
        <f t="shared" si="3"/>
        <v>IDATE</v>
      </c>
      <c r="G180" s="17"/>
    </row>
    <row r="181">
      <c r="A181" s="1" t="s">
        <v>847</v>
      </c>
      <c r="B181" s="1">
        <v>0.0</v>
      </c>
      <c r="C181" s="5">
        <f t="shared" si="1"/>
        <v>0</v>
      </c>
      <c r="D181" s="5">
        <f t="shared" si="2"/>
        <v>445132</v>
      </c>
      <c r="E181" s="5" t="str">
        <f t="shared" si="3"/>
        <v>IDAY</v>
      </c>
      <c r="G181" s="17"/>
    </row>
    <row r="182">
      <c r="A182" s="1" t="s">
        <v>848</v>
      </c>
      <c r="B182" s="1">
        <v>0.0</v>
      </c>
      <c r="C182" s="5">
        <f t="shared" si="1"/>
        <v>0</v>
      </c>
      <c r="D182" s="5">
        <f t="shared" si="2"/>
        <v>445132</v>
      </c>
      <c r="E182" s="5" t="str">
        <f t="shared" si="3"/>
        <v>IMONTH</v>
      </c>
      <c r="G182" s="17"/>
    </row>
    <row r="183">
      <c r="A183" s="1" t="s">
        <v>849</v>
      </c>
      <c r="B183" s="1">
        <v>0.0</v>
      </c>
      <c r="C183" s="5">
        <f t="shared" si="1"/>
        <v>0</v>
      </c>
      <c r="D183" s="5">
        <f t="shared" si="2"/>
        <v>445132</v>
      </c>
      <c r="E183" s="5" t="str">
        <f t="shared" si="3"/>
        <v>IYEAR</v>
      </c>
      <c r="G183" s="17"/>
    </row>
  </sheetData>
  <autoFilter ref="$A$1:$G$183">
    <sortState ref="A1:G183">
      <sortCondition descending="1" ref="C1:C183"/>
      <sortCondition ref="E1:E183"/>
    </sortState>
  </autoFilter>
  <drawing r:id="rId1"/>
</worksheet>
</file>